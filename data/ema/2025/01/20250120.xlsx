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-hxmleong\Desktop\Weekly Demand\20012025\"/>
    </mc:Choice>
  </mc:AlternateContent>
  <xr:revisionPtr revIDLastSave="0" documentId="8_{2C1BD5CF-71CA-4D55-89AD-B61533CF75DE}" xr6:coauthVersionLast="47" xr6:coauthVersionMax="47" xr10:uidLastSave="{00000000-0000-0000-0000-000000000000}"/>
  <bookViews>
    <workbookView xWindow="28680" yWindow="-120" windowWidth="29040" windowHeight="15840" tabRatio="237" xr2:uid="{6EE032CD-DD2A-4571-8D4F-FEB91CA76A4E}"/>
  </bookViews>
  <sheets>
    <sheet name="20250113" sheetId="1" r:id="rId1"/>
  </sheets>
  <definedNames>
    <definedName name="_xlnm.Print_Area" localSheetId="0">'20250113'!$A$2:$V$62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 s="1"/>
  <c r="K2" i="1" s="1"/>
  <c r="N2" i="1" s="1"/>
  <c r="Q2" i="1" s="1"/>
  <c r="T2" i="1" s="1"/>
</calcChain>
</file>

<file path=xl/sharedStrings.xml><?xml version="1.0" encoding="utf-8"?>
<sst xmlns="http://schemas.openxmlformats.org/spreadsheetml/2006/main" count="83" uniqueCount="65">
  <si>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</si>
  <si>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</si>
  <si>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</si>
  <si>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</si>
  <si>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</si>
  <si>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</si>
  <si>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</si>
  <si>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</si>
  <si>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</si>
  <si>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</si>
  <si>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</si>
  <si>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</si>
  <si>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</si>
  <si>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</si>
  <si>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</si>
  <si>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</si>
  <si>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</si>
  <si>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</si>
  <si>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</si>
  <si>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</si>
  <si>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</si>
  <si>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</si>
  <si>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</si>
  <si>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</si>
  <si>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</si>
  <si>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</si>
  <si>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</si>
  <si>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</si>
  <si>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</si>
  <si>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</si>
  <si>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</si>
  <si>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</si>
  <si>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</si>
  <si>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</si>
  <si>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</si>
  <si>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</si>
  <si>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</si>
  <si>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</si>
  <si>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</si>
  <si>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</si>
  <si>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</si>
  <si>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</si>
  <si>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</si>
  <si>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</si>
  <si>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</si>
  <si>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</si>
  <si>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</si>
  <si>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Date</t>
  </si>
  <si>
    <t>Mon</t>
  </si>
  <si>
    <t>Tue</t>
  </si>
  <si>
    <t>Wed</t>
  </si>
  <si>
    <t>Thu</t>
  </si>
  <si>
    <t>Fri</t>
  </si>
  <si>
    <t>Sat</t>
  </si>
  <si>
    <t>Sun</t>
  </si>
  <si>
    <t>00:00</t>
  </si>
  <si>
    <t>Period Ending Time</t>
  </si>
  <si>
    <t xml:space="preserve"> System Demand (Actual)</t>
  </si>
  <si>
    <t xml:space="preserve"> NEM Demand (Actual)</t>
  </si>
  <si>
    <t xml:space="preserve"> NEM Demand (Forecast)</t>
  </si>
  <si>
    <t xml:space="preserve">Note: </t>
  </si>
  <si>
    <t>4. All units in MW.</t>
  </si>
  <si>
    <t>1. System Demand (Actual): includes demand of consumers with their own embedded generators.</t>
  </si>
  <si>
    <r>
      <t xml:space="preserve">2. NEM Demand (Actual): Actual Demand met by all </t>
    </r>
    <r>
      <rPr>
        <i/>
        <sz val="10"/>
        <rFont val="Arial"/>
        <family val="2"/>
      </rPr>
      <t>Generation Registered Facilities</t>
    </r>
    <r>
      <rPr>
        <sz val="10"/>
        <rFont val="Arial"/>
        <family val="2"/>
      </rPr>
      <t>.</t>
    </r>
  </si>
  <si>
    <r>
      <t xml:space="preserve">3. NEM Demand (Forecast): Forecast demand for scheduling of </t>
    </r>
    <r>
      <rPr>
        <i/>
        <sz val="10"/>
        <rFont val="Arial"/>
        <family val="2"/>
      </rPr>
      <t>Generation Registered Facilities</t>
    </r>
    <r>
      <rPr>
        <sz val="10"/>
        <rFont val="Arial"/>
        <family val="2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</si>
</sst>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2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4" applyNumberFormat="0" applyAlignment="0" applyProtection="0"/>
    <xf numFmtId="0" fontId="8" fillId="28" borderId="15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30" borderId="14" applyNumberFormat="0" applyAlignment="0" applyProtection="0"/>
    <xf numFmtId="0" fontId="16" fillId="0" borderId="19" applyNumberFormat="0" applyFill="0" applyAlignment="0" applyProtection="0"/>
    <xf numFmtId="0" fontId="17" fillId="31" borderId="0" applyNumberFormat="0" applyBorder="0" applyAlignment="0" applyProtection="0"/>
    <xf numFmtId="0" fontId="4" fillId="0" borderId="0"/>
    <xf numFmtId="0" fontId="2" fillId="0" borderId="0"/>
    <xf numFmtId="0" fontId="4" fillId="32" borderId="20" applyNumberFormat="0" applyFont="0" applyAlignment="0" applyProtection="0"/>
    <xf numFmtId="0" fontId="18" fillId="27" borderId="21" applyNumberFormat="0" applyAlignment="0" applyProtection="0"/>
    <xf numFmtId="0" fontId="19" fillId="0" borderId="0" applyNumberFormat="0" applyFill="0" applyBorder="0" applyAlignment="0" applyProtection="0"/>
    <xf numFmtId="0" fontId="20" fillId="0" borderId="22" applyNumberFormat="0" applyFill="0" applyAlignment="0" applyProtection="0"/>
    <xf numFmtId="0" fontId="21" fillId="0" borderId="0" applyNumberFormat="0" applyFill="0" applyBorder="0" applyAlignment="0" applyProtection="0"/>
  </cellStyleXfs>
  <cellXfs count="24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0" fillId="0" borderId="1" xfId="0" applyNumberFormat="1" applyBorder="1" applyAlignment="1">
      <alignment horizontal="righ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827676C9-B6C1-4DC9-ACFC-1E95D4824395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94336FAA-5381-4B94-A768-DDB8092D7CA5}"/>
    <cellStyle name="Normal 3" xfId="39" xr:uid="{8911E045-7A38-4865-BE11-48223EA87FA0}"/>
    <cellStyle name="Note 2" xfId="40" xr:uid="{244DC318-0A5A-41F0-B095-6AAF4E710265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57AB-2962-4C71-A603-81A0D5AD01F6}">
  <sheetPr codeName="Sheet2">
    <pageSetUpPr fitToPage="1"/>
  </sheetPr>
  <dimension ref="A1:V59"/>
  <sheetViews>
    <sheetView tabSelected="1" topLeftCell="N1" zoomScaleNormal="100" workbookViewId="0">
      <selection activeCell="R15" sqref="R15"/>
    </sheetView>
  </sheetViews>
  <sheetFormatPr defaultColWidth="9.1796875" defaultRowHeight="12.5" x14ac:dyDescent="0.25"/>
  <cols>
    <col min="1" max="1" width="19.26953125" style="5" bestFit="1" customWidth="1"/>
    <col min="2" max="2" width="16.1796875" style="5" bestFit="1" customWidth="1"/>
    <col min="3" max="3" width="13.26953125" style="5" bestFit="1" customWidth="1"/>
    <col min="4" max="4" width="15.81640625" style="5" bestFit="1" customWidth="1"/>
    <col min="5" max="5" width="16.1796875" style="5" bestFit="1" customWidth="1"/>
    <col min="6" max="6" width="13.26953125" style="5" bestFit="1" customWidth="1"/>
    <col min="7" max="7" width="15.81640625" style="5" bestFit="1" customWidth="1"/>
    <col min="8" max="8" width="16.1796875" style="5" bestFit="1" customWidth="1"/>
    <col min="9" max="9" width="13.26953125" style="5" bestFit="1" customWidth="1"/>
    <col min="10" max="10" width="15.81640625" style="5" bestFit="1" customWidth="1"/>
    <col min="11" max="11" width="16.1796875" style="5" bestFit="1" customWidth="1"/>
    <col min="12" max="12" width="13.26953125" style="5" bestFit="1" customWidth="1"/>
    <col min="13" max="13" width="15.81640625" style="5" bestFit="1" customWidth="1"/>
    <col min="14" max="14" width="16.1796875" style="5" bestFit="1" customWidth="1"/>
    <col min="15" max="15" width="13.26953125" style="5" bestFit="1" customWidth="1"/>
    <col min="16" max="16" width="15.81640625" style="5" bestFit="1" customWidth="1"/>
    <col min="17" max="17" width="16.1796875" style="5" bestFit="1" customWidth="1"/>
    <col min="18" max="18" width="14.1796875" style="5" customWidth="1"/>
    <col min="19" max="19" width="17.08984375" style="5" customWidth="1"/>
    <col min="20" max="20" width="16.1796875" style="5" bestFit="1" customWidth="1"/>
    <col min="21" max="22" width="13.90625" style="5" customWidth="1"/>
    <col min="23" max="29" width="9.1796875" style="6"/>
    <col min="30" max="30" width="9.26953125" style="6" bestFit="1" customWidth="1"/>
    <col min="31" max="16384" width="9.1796875" style="6"/>
  </cols>
  <sheetData>
    <row r="1" spans="1:22" s="5" customFormat="1" ht="13" x14ac:dyDescent="0.3">
      <c r="A1" s="3"/>
      <c r="B1" s="3"/>
      <c r="D1" s="2"/>
      <c r="E1" s="2"/>
    </row>
    <row r="2" spans="1:22" s="2" customFormat="1" ht="13" x14ac:dyDescent="0.3">
      <c r="A2" s="1" t="s">
        <v>47</v>
      </c>
      <c r="B2" s="20">
        <v>45677</v>
      </c>
      <c r="C2" s="21"/>
      <c r="D2" s="22"/>
      <c r="E2" s="20">
        <f xml:space="preserve"> B2+1</f>
        <v>45678</v>
      </c>
      <c r="F2" s="21"/>
      <c r="G2" s="22"/>
      <c r="H2" s="20">
        <f xml:space="preserve"> E2+1</f>
        <v>45679</v>
      </c>
      <c r="I2" s="21"/>
      <c r="J2" s="22"/>
      <c r="K2" s="20">
        <f>H2+1</f>
        <v>45680</v>
      </c>
      <c r="L2" s="21"/>
      <c r="M2" s="22"/>
      <c r="N2" s="20">
        <f>K2+1</f>
        <v>45681</v>
      </c>
      <c r="O2" s="21"/>
      <c r="P2" s="22"/>
      <c r="Q2" s="20">
        <f>N2+1</f>
        <v>45682</v>
      </c>
      <c r="R2" s="21"/>
      <c r="S2" s="22"/>
      <c r="T2" s="20">
        <f>Q2+1</f>
        <v>45683</v>
      </c>
      <c r="U2" s="21"/>
      <c r="V2" s="22"/>
    </row>
    <row r="3" spans="1:22" s="2" customFormat="1" ht="13" x14ac:dyDescent="0.3">
      <c r="A3" s="17" t="s">
        <v>56</v>
      </c>
      <c r="B3" s="10" t="s">
        <v>48</v>
      </c>
      <c r="C3" s="11"/>
      <c r="D3" s="12"/>
      <c r="E3" s="10" t="s">
        <v>49</v>
      </c>
      <c r="F3" s="11"/>
      <c r="G3" s="12"/>
      <c r="H3" s="10" t="s">
        <v>50</v>
      </c>
      <c r="I3" s="11"/>
      <c r="J3" s="12"/>
      <c r="K3" s="10" t="s">
        <v>51</v>
      </c>
      <c r="L3" s="11"/>
      <c r="M3" s="12"/>
      <c r="N3" s="10" t="s">
        <v>52</v>
      </c>
      <c r="O3" s="11"/>
      <c r="P3" s="12"/>
      <c r="Q3" s="10" t="s">
        <v>53</v>
      </c>
      <c r="R3" s="11"/>
      <c r="S3" s="12"/>
      <c r="T3" s="10" t="s">
        <v>54</v>
      </c>
      <c r="U3" s="11"/>
      <c r="V3" s="12"/>
    </row>
    <row r="4" spans="1:22" s="2" customFormat="1" ht="13" x14ac:dyDescent="0.3">
      <c r="A4" s="18"/>
      <c r="B4" s="13"/>
      <c r="C4" s="14"/>
      <c r="D4" s="15"/>
      <c r="E4" s="13"/>
      <c r="F4" s="14"/>
      <c r="G4" s="15"/>
      <c r="H4" s="13"/>
      <c r="I4" s="14"/>
      <c r="J4" s="15"/>
      <c r="K4" s="13"/>
      <c r="L4" s="14"/>
      <c r="M4" s="15"/>
      <c r="N4" s="13"/>
      <c r="O4" s="14"/>
      <c r="P4" s="15"/>
      <c r="Q4" s="13"/>
      <c r="R4" s="14"/>
      <c r="S4" s="15"/>
      <c r="T4" s="13"/>
      <c r="U4" s="14"/>
      <c r="V4" s="15"/>
    </row>
    <row r="5" spans="1:22" s="2" customFormat="1" ht="29" customHeight="1" x14ac:dyDescent="0.3">
      <c r="A5" s="19"/>
      <c r="B5" s="9" t="s">
        <v>57</v>
      </c>
      <c r="C5" s="9" t="s">
        <v>58</v>
      </c>
      <c r="D5" s="9" t="s">
        <v>59</v>
      </c>
      <c r="E5" s="9" t="s">
        <v>57</v>
      </c>
      <c r="F5" s="9" t="s">
        <v>58</v>
      </c>
      <c r="G5" s="9" t="s">
        <v>59</v>
      </c>
      <c r="H5" s="9" t="s">
        <v>57</v>
      </c>
      <c r="I5" s="9" t="s">
        <v>58</v>
      </c>
      <c r="J5" s="9" t="s">
        <v>59</v>
      </c>
      <c r="K5" s="9" t="s">
        <v>57</v>
      </c>
      <c r="L5" s="9" t="s">
        <v>58</v>
      </c>
      <c r="M5" s="9" t="s">
        <v>59</v>
      </c>
      <c r="N5" s="9" t="s">
        <v>57</v>
      </c>
      <c r="O5" s="9" t="s">
        <v>58</v>
      </c>
      <c r="P5" s="9" t="s">
        <v>59</v>
      </c>
      <c r="Q5" s="9" t="s">
        <v>57</v>
      </c>
      <c r="R5" s="9" t="s">
        <v>58</v>
      </c>
      <c r="S5" s="9" t="s">
        <v>59</v>
      </c>
      <c r="T5" s="9" t="s">
        <v>57</v>
      </c>
      <c r="U5" s="9" t="s">
        <v>58</v>
      </c>
      <c r="V5" s="9" t="s">
        <v>59</v>
      </c>
    </row>
    <row r="6" spans="1:22" s="5" customFormat="1" x14ac:dyDescent="0.25">
      <c r="A6" s="4" t="s">
        <v>0</v>
      </c>
      <c r="B6" s="23">
        <v>5943.2043000000003</v>
      </c>
      <c r="C6" s="23">
        <v>5804.8</v>
      </c>
      <c r="D6" s="23">
        <v>5844.7</v>
      </c>
      <c r="E6" s="23">
        <v>6103.4175999999998</v>
      </c>
      <c r="F6" s="23">
        <v>5982</v>
      </c>
      <c r="G6" s="23">
        <v>5952.7</v>
      </c>
      <c r="H6" s="23">
        <v>5977.8316000000004</v>
      </c>
      <c r="I6" s="23">
        <v>5838.4</v>
      </c>
      <c r="J6" s="23">
        <v>5867</v>
      </c>
      <c r="K6" s="23">
        <v>6019.7376000000004</v>
      </c>
      <c r="L6" s="23">
        <v>5892.3</v>
      </c>
      <c r="M6" s="23">
        <v>5832.6</v>
      </c>
      <c r="N6" s="23">
        <v>6041.5140000000001</v>
      </c>
      <c r="O6" s="23">
        <v>5917.8</v>
      </c>
      <c r="P6" s="23">
        <v>5890.8</v>
      </c>
      <c r="Q6" s="23">
        <v>6022.5738000000001</v>
      </c>
      <c r="R6" s="23">
        <v>5903.3</v>
      </c>
      <c r="S6" s="23">
        <v>5967.6</v>
      </c>
      <c r="T6" s="23">
        <v>6030.6994999999997</v>
      </c>
      <c r="U6" s="23">
        <v>5892.7</v>
      </c>
      <c r="V6" s="23">
        <v>5924.2</v>
      </c>
    </row>
    <row r="7" spans="1:22" s="5" customFormat="1" x14ac:dyDescent="0.25">
      <c r="A7" s="4" t="s">
        <v>1</v>
      </c>
      <c r="B7" s="23">
        <v>5822.2417999999998</v>
      </c>
      <c r="C7" s="23">
        <v>5685.2</v>
      </c>
      <c r="D7" s="23">
        <v>5704.3</v>
      </c>
      <c r="E7" s="23">
        <v>5976.7352000000001</v>
      </c>
      <c r="F7" s="23">
        <v>5851.5</v>
      </c>
      <c r="G7" s="23">
        <v>5828.3</v>
      </c>
      <c r="H7" s="23">
        <v>5845.3702000000003</v>
      </c>
      <c r="I7" s="23">
        <v>5704.4</v>
      </c>
      <c r="J7" s="23">
        <v>5735.4</v>
      </c>
      <c r="K7" s="23">
        <v>5882.4957999999997</v>
      </c>
      <c r="L7" s="23">
        <v>5750.2</v>
      </c>
      <c r="M7" s="23">
        <v>5714.5</v>
      </c>
      <c r="N7" s="23">
        <v>5915.3895000000002</v>
      </c>
      <c r="O7" s="23">
        <v>5794.4</v>
      </c>
      <c r="P7" s="23">
        <v>5767.6</v>
      </c>
      <c r="Q7" s="23">
        <v>5888.0113000000001</v>
      </c>
      <c r="R7" s="23">
        <v>5767.7</v>
      </c>
      <c r="S7" s="23">
        <v>5851.5</v>
      </c>
      <c r="T7" s="23">
        <v>5903.05</v>
      </c>
      <c r="U7" s="23">
        <v>5769.4</v>
      </c>
      <c r="V7" s="23">
        <v>5804.5</v>
      </c>
    </row>
    <row r="8" spans="1:22" s="5" customFormat="1" x14ac:dyDescent="0.25">
      <c r="A8" s="4" t="s">
        <v>2</v>
      </c>
      <c r="B8" s="23">
        <v>5714.7276000000002</v>
      </c>
      <c r="C8" s="23">
        <v>5578.2</v>
      </c>
      <c r="D8" s="23">
        <v>5609.9</v>
      </c>
      <c r="E8" s="23">
        <v>5866.1652000000004</v>
      </c>
      <c r="F8" s="23">
        <v>5737.7</v>
      </c>
      <c r="G8" s="23">
        <v>5729.3</v>
      </c>
      <c r="H8" s="23">
        <v>5752.6526000000003</v>
      </c>
      <c r="I8" s="23">
        <v>5617.6</v>
      </c>
      <c r="J8" s="23">
        <v>5626.8</v>
      </c>
      <c r="K8" s="23">
        <v>5778.9565000000002</v>
      </c>
      <c r="L8" s="23">
        <v>5650</v>
      </c>
      <c r="M8" s="23">
        <v>5660.5</v>
      </c>
      <c r="N8" s="23">
        <v>5810.8595999999998</v>
      </c>
      <c r="O8" s="23">
        <v>5695.4</v>
      </c>
      <c r="P8" s="23">
        <v>5678.1</v>
      </c>
      <c r="Q8" s="23">
        <v>5783.2311</v>
      </c>
      <c r="R8" s="23">
        <v>5664.3</v>
      </c>
      <c r="S8" s="23">
        <v>5713.8</v>
      </c>
      <c r="T8" s="23">
        <v>5797.3566000000001</v>
      </c>
      <c r="U8" s="23">
        <v>5661.9</v>
      </c>
      <c r="V8" s="23">
        <v>5732.5</v>
      </c>
    </row>
    <row r="9" spans="1:22" s="5" customFormat="1" x14ac:dyDescent="0.25">
      <c r="A9" s="4" t="s">
        <v>3</v>
      </c>
      <c r="B9" s="23">
        <v>5633.7070999999996</v>
      </c>
      <c r="C9" s="23">
        <v>5501</v>
      </c>
      <c r="D9" s="23">
        <v>5542.2</v>
      </c>
      <c r="E9" s="23">
        <v>5808.1144999999997</v>
      </c>
      <c r="F9" s="23">
        <v>5681.8</v>
      </c>
      <c r="G9" s="23">
        <v>5657.3</v>
      </c>
      <c r="H9" s="23">
        <v>5689.4228999999996</v>
      </c>
      <c r="I9" s="23">
        <v>5559.7</v>
      </c>
      <c r="J9" s="23">
        <v>5553.2</v>
      </c>
      <c r="K9" s="23">
        <v>5709.0535</v>
      </c>
      <c r="L9" s="23">
        <v>5571.7</v>
      </c>
      <c r="M9" s="23">
        <v>5587.1</v>
      </c>
      <c r="N9" s="23">
        <v>5736.8837000000003</v>
      </c>
      <c r="O9" s="23">
        <v>5625.9</v>
      </c>
      <c r="P9" s="23">
        <v>5618.2</v>
      </c>
      <c r="Q9" s="23">
        <v>5696.8042999999998</v>
      </c>
      <c r="R9" s="23">
        <v>5578.8</v>
      </c>
      <c r="S9" s="23">
        <v>5634.6</v>
      </c>
      <c r="T9" s="23">
        <v>5707.5895</v>
      </c>
      <c r="U9" s="23">
        <v>5574.9</v>
      </c>
      <c r="V9" s="23">
        <v>5635.9</v>
      </c>
    </row>
    <row r="10" spans="1:22" s="5" customFormat="1" x14ac:dyDescent="0.25">
      <c r="A10" s="4" t="s">
        <v>4</v>
      </c>
      <c r="B10" s="23">
        <v>5594.1832999999997</v>
      </c>
      <c r="C10" s="23">
        <v>5459.4</v>
      </c>
      <c r="D10" s="23">
        <v>5481.4</v>
      </c>
      <c r="E10" s="23">
        <v>5737.2253000000001</v>
      </c>
      <c r="F10" s="23">
        <v>5613.3</v>
      </c>
      <c r="G10" s="23">
        <v>5598</v>
      </c>
      <c r="H10" s="23">
        <v>5642.7554</v>
      </c>
      <c r="I10" s="23">
        <v>5514.7</v>
      </c>
      <c r="J10" s="23">
        <v>5511.5</v>
      </c>
      <c r="K10" s="23">
        <v>5660.4373999999998</v>
      </c>
      <c r="L10" s="23">
        <v>5525.9</v>
      </c>
      <c r="M10" s="23">
        <v>5533.7</v>
      </c>
      <c r="N10" s="23">
        <v>5686.7933999999996</v>
      </c>
      <c r="O10" s="23">
        <v>5578.8</v>
      </c>
      <c r="P10" s="23">
        <v>5568.2</v>
      </c>
      <c r="Q10" s="23">
        <v>5625.2826999999997</v>
      </c>
      <c r="R10" s="23">
        <v>5508.1</v>
      </c>
      <c r="S10" s="23">
        <v>5560.2</v>
      </c>
      <c r="T10" s="23">
        <v>5640.0505999999996</v>
      </c>
      <c r="U10" s="23">
        <v>5506.4</v>
      </c>
      <c r="V10" s="23">
        <v>5547.3</v>
      </c>
    </row>
    <row r="11" spans="1:22" s="5" customFormat="1" x14ac:dyDescent="0.25">
      <c r="A11" s="4" t="s">
        <v>5</v>
      </c>
      <c r="B11" s="23">
        <v>5555.6527999999998</v>
      </c>
      <c r="C11" s="23">
        <v>5420.1</v>
      </c>
      <c r="D11" s="23">
        <v>5426.5</v>
      </c>
      <c r="E11" s="23">
        <v>5693.8366999999998</v>
      </c>
      <c r="F11" s="23">
        <v>5572.1</v>
      </c>
      <c r="G11" s="23">
        <v>5557.4</v>
      </c>
      <c r="H11" s="23">
        <v>5602.2572</v>
      </c>
      <c r="I11" s="23">
        <v>5476.9</v>
      </c>
      <c r="J11" s="23">
        <v>5472</v>
      </c>
      <c r="K11" s="23">
        <v>5610.9665000000005</v>
      </c>
      <c r="L11" s="23">
        <v>5477.2</v>
      </c>
      <c r="M11" s="23">
        <v>5478.7</v>
      </c>
      <c r="N11" s="23">
        <v>5637.2592999999997</v>
      </c>
      <c r="O11" s="23">
        <v>5528.8</v>
      </c>
      <c r="P11" s="23">
        <v>5523.6</v>
      </c>
      <c r="Q11" s="23">
        <v>5566.8707000000004</v>
      </c>
      <c r="R11" s="23">
        <v>5451.7</v>
      </c>
      <c r="S11" s="23">
        <v>5501.7</v>
      </c>
      <c r="T11" s="23">
        <v>5596.0285999999996</v>
      </c>
      <c r="U11" s="23">
        <v>5462.2</v>
      </c>
      <c r="V11" s="23">
        <v>5480.2</v>
      </c>
    </row>
    <row r="12" spans="1:22" s="5" customFormat="1" x14ac:dyDescent="0.25">
      <c r="A12" s="4" t="s">
        <v>6</v>
      </c>
      <c r="B12" s="23">
        <v>5510.8582999999999</v>
      </c>
      <c r="C12" s="23">
        <v>5373.1</v>
      </c>
      <c r="D12" s="23">
        <v>5393.6</v>
      </c>
      <c r="E12" s="23">
        <v>5641.9189999999999</v>
      </c>
      <c r="F12" s="23">
        <v>5521.9</v>
      </c>
      <c r="G12" s="23">
        <v>5508</v>
      </c>
      <c r="H12" s="23">
        <v>5571.4160000000002</v>
      </c>
      <c r="I12" s="23">
        <v>5448.9</v>
      </c>
      <c r="J12" s="23">
        <v>5438.9</v>
      </c>
      <c r="K12" s="23">
        <v>5581.6041999999998</v>
      </c>
      <c r="L12" s="23">
        <v>5448.1</v>
      </c>
      <c r="M12" s="23">
        <v>5446.7</v>
      </c>
      <c r="N12" s="23">
        <v>5610.1021000000001</v>
      </c>
      <c r="O12" s="23">
        <v>5503.3</v>
      </c>
      <c r="P12" s="23">
        <v>5492.7</v>
      </c>
      <c r="Q12" s="23">
        <v>5528.3432000000003</v>
      </c>
      <c r="R12" s="23">
        <v>5413.7</v>
      </c>
      <c r="S12" s="23">
        <v>5454.8</v>
      </c>
      <c r="T12" s="23">
        <v>5543.2938000000004</v>
      </c>
      <c r="U12" s="23">
        <v>5411.5</v>
      </c>
      <c r="V12" s="23">
        <v>5424.7</v>
      </c>
    </row>
    <row r="13" spans="1:22" s="5" customFormat="1" x14ac:dyDescent="0.25">
      <c r="A13" s="4" t="s">
        <v>7</v>
      </c>
      <c r="B13" s="23">
        <v>5505.1746999999996</v>
      </c>
      <c r="C13" s="23">
        <v>5371.8</v>
      </c>
      <c r="D13" s="23">
        <v>5376.3</v>
      </c>
      <c r="E13" s="23">
        <v>5634.3230999999996</v>
      </c>
      <c r="F13" s="23">
        <v>5517.6</v>
      </c>
      <c r="G13" s="23">
        <v>5495.2</v>
      </c>
      <c r="H13" s="23">
        <v>5550.4971999999998</v>
      </c>
      <c r="I13" s="23">
        <v>5434.8</v>
      </c>
      <c r="J13" s="23">
        <v>5431.8</v>
      </c>
      <c r="K13" s="23">
        <v>5560.1320999999998</v>
      </c>
      <c r="L13" s="23">
        <v>5425.7</v>
      </c>
      <c r="M13" s="23">
        <v>5428.7</v>
      </c>
      <c r="N13" s="23">
        <v>5581.1472000000003</v>
      </c>
      <c r="O13" s="23">
        <v>5472.6</v>
      </c>
      <c r="P13" s="23">
        <v>5474.5</v>
      </c>
      <c r="Q13" s="23">
        <v>5498.7255999999998</v>
      </c>
      <c r="R13" s="23">
        <v>5378.8</v>
      </c>
      <c r="S13" s="23">
        <v>5426.2</v>
      </c>
      <c r="T13" s="23">
        <v>5505.7070000000003</v>
      </c>
      <c r="U13" s="23">
        <v>5370</v>
      </c>
      <c r="V13" s="23">
        <v>5402.3</v>
      </c>
    </row>
    <row r="14" spans="1:22" s="5" customFormat="1" x14ac:dyDescent="0.25">
      <c r="A14" s="4" t="s">
        <v>8</v>
      </c>
      <c r="B14" s="23">
        <v>5497.3896000000004</v>
      </c>
      <c r="C14" s="23">
        <v>5362.1</v>
      </c>
      <c r="D14" s="23">
        <v>5374.6</v>
      </c>
      <c r="E14" s="23">
        <v>5631.2884999999997</v>
      </c>
      <c r="F14" s="23">
        <v>5519.9</v>
      </c>
      <c r="G14" s="23">
        <v>5487</v>
      </c>
      <c r="H14" s="23">
        <v>5553.5659999999998</v>
      </c>
      <c r="I14" s="23">
        <v>5436.6</v>
      </c>
      <c r="J14" s="23">
        <v>5440.6</v>
      </c>
      <c r="K14" s="23">
        <v>5560.5996999999998</v>
      </c>
      <c r="L14" s="23">
        <v>5426.8</v>
      </c>
      <c r="M14" s="23">
        <v>5434.7</v>
      </c>
      <c r="N14" s="23">
        <v>5577.0160999999998</v>
      </c>
      <c r="O14" s="23">
        <v>5468.2</v>
      </c>
      <c r="P14" s="23">
        <v>5483.1</v>
      </c>
      <c r="Q14" s="23">
        <v>5492.3877000000002</v>
      </c>
      <c r="R14" s="23">
        <v>5361</v>
      </c>
      <c r="S14" s="23">
        <v>5409.3</v>
      </c>
      <c r="T14" s="23">
        <v>5490.8392000000003</v>
      </c>
      <c r="U14" s="23">
        <v>5353.6</v>
      </c>
      <c r="V14" s="23">
        <v>5390</v>
      </c>
    </row>
    <row r="15" spans="1:22" s="5" customFormat="1" x14ac:dyDescent="0.25">
      <c r="A15" s="4" t="s">
        <v>9</v>
      </c>
      <c r="B15" s="23">
        <v>5536.4022000000004</v>
      </c>
      <c r="C15" s="23">
        <v>5395.8</v>
      </c>
      <c r="D15" s="23">
        <v>5407.3</v>
      </c>
      <c r="E15" s="23">
        <v>5642.8684999999996</v>
      </c>
      <c r="F15" s="23">
        <v>5527</v>
      </c>
      <c r="G15" s="23">
        <v>5516.9</v>
      </c>
      <c r="H15" s="23">
        <v>5574.4026000000003</v>
      </c>
      <c r="I15" s="23">
        <v>5456.6</v>
      </c>
      <c r="J15" s="23">
        <v>5453.2</v>
      </c>
      <c r="K15" s="23">
        <v>5580.1976000000004</v>
      </c>
      <c r="L15" s="23">
        <v>5449.5</v>
      </c>
      <c r="M15" s="23">
        <v>5447.8</v>
      </c>
      <c r="N15" s="23">
        <v>5606.5627999999997</v>
      </c>
      <c r="O15" s="23">
        <v>5498.9</v>
      </c>
      <c r="P15" s="23">
        <v>5488.1</v>
      </c>
      <c r="Q15" s="23">
        <v>5495.7753000000002</v>
      </c>
      <c r="R15" s="23">
        <v>5363.4</v>
      </c>
      <c r="S15" s="23">
        <v>5404.4</v>
      </c>
      <c r="T15" s="23">
        <v>5494.6499000000003</v>
      </c>
      <c r="U15" s="23">
        <v>5360.7</v>
      </c>
      <c r="V15" s="23">
        <v>5376.6</v>
      </c>
    </row>
    <row r="16" spans="1:22" s="5" customFormat="1" x14ac:dyDescent="0.25">
      <c r="A16" s="4" t="s">
        <v>10</v>
      </c>
      <c r="B16" s="23">
        <v>5625.1809000000003</v>
      </c>
      <c r="C16" s="23">
        <v>5486.6</v>
      </c>
      <c r="D16" s="23">
        <v>5477.8</v>
      </c>
      <c r="E16" s="23">
        <v>5747.0249999999996</v>
      </c>
      <c r="F16" s="23">
        <v>5631.8</v>
      </c>
      <c r="G16" s="23">
        <v>5604.1</v>
      </c>
      <c r="H16" s="23">
        <v>5667.1175999999996</v>
      </c>
      <c r="I16" s="23">
        <v>5548.2</v>
      </c>
      <c r="J16" s="23">
        <v>5542.1</v>
      </c>
      <c r="K16" s="23">
        <v>5668.2393000000002</v>
      </c>
      <c r="L16" s="23">
        <v>5541.7</v>
      </c>
      <c r="M16" s="23">
        <v>5538.4</v>
      </c>
      <c r="N16" s="23">
        <v>5691.8175000000001</v>
      </c>
      <c r="O16" s="23">
        <v>5581.1</v>
      </c>
      <c r="P16" s="23">
        <v>5580.5</v>
      </c>
      <c r="Q16" s="23">
        <v>5534.9754000000003</v>
      </c>
      <c r="R16" s="23">
        <v>5402.1</v>
      </c>
      <c r="S16" s="23">
        <v>5437.5</v>
      </c>
      <c r="T16" s="23">
        <v>5517.0848999999998</v>
      </c>
      <c r="U16" s="23">
        <v>5383</v>
      </c>
      <c r="V16" s="23">
        <v>5395.1</v>
      </c>
    </row>
    <row r="17" spans="1:22" s="5" customFormat="1" x14ac:dyDescent="0.25">
      <c r="A17" s="4" t="s">
        <v>11</v>
      </c>
      <c r="B17" s="23">
        <v>5784.6894000000002</v>
      </c>
      <c r="C17" s="23">
        <v>5649</v>
      </c>
      <c r="D17" s="23">
        <v>5631.1</v>
      </c>
      <c r="E17" s="23">
        <v>5883.1223</v>
      </c>
      <c r="F17" s="23">
        <v>5757.6</v>
      </c>
      <c r="G17" s="23">
        <v>5745.4</v>
      </c>
      <c r="H17" s="23">
        <v>5812.7286999999997</v>
      </c>
      <c r="I17" s="23">
        <v>5691.8</v>
      </c>
      <c r="J17" s="23">
        <v>5689.3</v>
      </c>
      <c r="K17" s="23">
        <v>5818.2951000000003</v>
      </c>
      <c r="L17" s="23">
        <v>5694.1</v>
      </c>
      <c r="M17" s="23">
        <v>5684.8</v>
      </c>
      <c r="N17" s="23">
        <v>5836.7784000000001</v>
      </c>
      <c r="O17" s="23">
        <v>5726.2</v>
      </c>
      <c r="P17" s="23">
        <v>5731.7</v>
      </c>
      <c r="Q17" s="23">
        <v>5591.0965999999999</v>
      </c>
      <c r="R17" s="23">
        <v>5458.2</v>
      </c>
      <c r="S17" s="23">
        <v>5488.1</v>
      </c>
      <c r="T17" s="23">
        <v>5557.6077999999998</v>
      </c>
      <c r="U17" s="23">
        <v>5420.4</v>
      </c>
      <c r="V17" s="23">
        <v>5446.6</v>
      </c>
    </row>
    <row r="18" spans="1:22" s="5" customFormat="1" x14ac:dyDescent="0.25">
      <c r="A18" s="4" t="s">
        <v>12</v>
      </c>
      <c r="B18" s="23">
        <v>6056.3756999999996</v>
      </c>
      <c r="C18" s="23">
        <v>5921.4</v>
      </c>
      <c r="D18" s="23">
        <v>5891.1</v>
      </c>
      <c r="E18" s="23">
        <v>6155.1099000000004</v>
      </c>
      <c r="F18" s="23">
        <v>6026.7</v>
      </c>
      <c r="G18" s="23">
        <v>6020.5</v>
      </c>
      <c r="H18" s="23">
        <v>6080.5789999999997</v>
      </c>
      <c r="I18" s="23">
        <v>5952.9</v>
      </c>
      <c r="J18" s="23">
        <v>5955.4</v>
      </c>
      <c r="K18" s="23">
        <v>6082.8251</v>
      </c>
      <c r="L18" s="23">
        <v>5953.5</v>
      </c>
      <c r="M18" s="23">
        <v>5953.6</v>
      </c>
      <c r="N18" s="23">
        <v>6077.2094999999999</v>
      </c>
      <c r="O18" s="23">
        <v>5966.6</v>
      </c>
      <c r="P18" s="23">
        <v>5985.1</v>
      </c>
      <c r="Q18" s="23">
        <v>5708.3762999999999</v>
      </c>
      <c r="R18" s="23">
        <v>5576.4</v>
      </c>
      <c r="S18" s="23">
        <v>5593.7</v>
      </c>
      <c r="T18" s="23">
        <v>5652.3896000000004</v>
      </c>
      <c r="U18" s="23">
        <v>5518.8</v>
      </c>
      <c r="V18" s="23">
        <v>5532.6</v>
      </c>
    </row>
    <row r="19" spans="1:22" s="5" customFormat="1" x14ac:dyDescent="0.25">
      <c r="A19" s="4" t="s">
        <v>13</v>
      </c>
      <c r="B19" s="23">
        <v>6250.7669999999998</v>
      </c>
      <c r="C19" s="23">
        <v>6119.1</v>
      </c>
      <c r="D19" s="23">
        <v>6087.8</v>
      </c>
      <c r="E19" s="23">
        <v>6318.2755999999999</v>
      </c>
      <c r="F19" s="23">
        <v>6196.5</v>
      </c>
      <c r="G19" s="23">
        <v>6191.8</v>
      </c>
      <c r="H19" s="23">
        <v>6261.4515000000001</v>
      </c>
      <c r="I19" s="23">
        <v>6137.4</v>
      </c>
      <c r="J19" s="23">
        <v>6137.4</v>
      </c>
      <c r="K19" s="23">
        <v>6253.5834999999997</v>
      </c>
      <c r="L19" s="23">
        <v>6127.6</v>
      </c>
      <c r="M19" s="23">
        <v>6144.6</v>
      </c>
      <c r="N19" s="23">
        <v>6245.1467000000002</v>
      </c>
      <c r="O19" s="23">
        <v>6135.9</v>
      </c>
      <c r="P19" s="23">
        <v>6164</v>
      </c>
      <c r="Q19" s="23">
        <v>5789.5149000000001</v>
      </c>
      <c r="R19" s="23">
        <v>5656.3</v>
      </c>
      <c r="S19" s="23">
        <v>5667.3</v>
      </c>
      <c r="T19" s="23">
        <v>5727.2262000000001</v>
      </c>
      <c r="U19" s="23">
        <v>5594.7</v>
      </c>
      <c r="V19" s="23">
        <v>5587.9</v>
      </c>
    </row>
    <row r="20" spans="1:22" s="5" customFormat="1" x14ac:dyDescent="0.25">
      <c r="A20" s="4" t="s">
        <v>14</v>
      </c>
      <c r="B20" s="23">
        <v>6511.9044999999996</v>
      </c>
      <c r="C20" s="23">
        <v>6380.4</v>
      </c>
      <c r="D20" s="23">
        <v>6319.2</v>
      </c>
      <c r="E20" s="23">
        <v>6535.4571999999998</v>
      </c>
      <c r="F20" s="23">
        <v>6405.1</v>
      </c>
      <c r="G20" s="23">
        <v>6429.4</v>
      </c>
      <c r="H20" s="23">
        <v>6493.2638999999999</v>
      </c>
      <c r="I20" s="23">
        <v>6356.5</v>
      </c>
      <c r="J20" s="23">
        <v>6360.5</v>
      </c>
      <c r="K20" s="23">
        <v>6490.8603000000003</v>
      </c>
      <c r="L20" s="23">
        <v>6360.1</v>
      </c>
      <c r="M20" s="23">
        <v>6369.1</v>
      </c>
      <c r="N20" s="23">
        <v>6456.3112000000001</v>
      </c>
      <c r="O20" s="23">
        <v>6345.4</v>
      </c>
      <c r="P20" s="23">
        <v>6367</v>
      </c>
      <c r="Q20" s="23">
        <v>5945.4227000000001</v>
      </c>
      <c r="R20" s="23">
        <v>5809.9</v>
      </c>
      <c r="S20" s="23">
        <v>5809</v>
      </c>
      <c r="T20" s="23">
        <v>5828.4146000000001</v>
      </c>
      <c r="U20" s="23">
        <v>5695.1</v>
      </c>
      <c r="V20" s="23">
        <v>5705.7</v>
      </c>
    </row>
    <row r="21" spans="1:22" s="5" customFormat="1" x14ac:dyDescent="0.25">
      <c r="A21" s="4" t="s">
        <v>15</v>
      </c>
      <c r="B21" s="23">
        <v>6654.0934999999999</v>
      </c>
      <c r="C21" s="23">
        <v>6526.1</v>
      </c>
      <c r="D21" s="23">
        <v>6482</v>
      </c>
      <c r="E21" s="23">
        <v>6690.1896999999999</v>
      </c>
      <c r="F21" s="23">
        <v>6562.2</v>
      </c>
      <c r="G21" s="23">
        <v>6564.6</v>
      </c>
      <c r="H21" s="23">
        <v>6634.4328999999998</v>
      </c>
      <c r="I21" s="23">
        <v>6509.1</v>
      </c>
      <c r="J21" s="23">
        <v>6511.5</v>
      </c>
      <c r="K21" s="23">
        <v>6635.8224</v>
      </c>
      <c r="L21" s="23">
        <v>6505.7</v>
      </c>
      <c r="M21" s="23">
        <v>6512.9</v>
      </c>
      <c r="N21" s="23">
        <v>6590.6198000000004</v>
      </c>
      <c r="O21" s="23">
        <v>6484.8</v>
      </c>
      <c r="P21" s="23">
        <v>6513.6</v>
      </c>
      <c r="Q21" s="23">
        <v>6000.8438999999998</v>
      </c>
      <c r="R21" s="23">
        <v>5867.8</v>
      </c>
      <c r="S21" s="23">
        <v>5899.7</v>
      </c>
      <c r="T21" s="23">
        <v>5865.9436999999998</v>
      </c>
      <c r="U21" s="23">
        <v>5731.3</v>
      </c>
      <c r="V21" s="23">
        <v>5738.7</v>
      </c>
    </row>
    <row r="22" spans="1:22" s="5" customFormat="1" x14ac:dyDescent="0.25">
      <c r="A22" s="4" t="s">
        <v>16</v>
      </c>
      <c r="B22" s="23">
        <v>6881.1067999999996</v>
      </c>
      <c r="C22" s="23">
        <v>6753.6</v>
      </c>
      <c r="D22" s="23">
        <v>6734.6</v>
      </c>
      <c r="E22" s="23">
        <v>6913.2190000000001</v>
      </c>
      <c r="F22" s="23">
        <v>6776.2</v>
      </c>
      <c r="G22" s="23">
        <v>6778.3</v>
      </c>
      <c r="H22" s="23">
        <v>6845.3590999999997</v>
      </c>
      <c r="I22" s="23">
        <v>6716.6</v>
      </c>
      <c r="J22" s="23">
        <v>6733.2</v>
      </c>
      <c r="K22" s="23">
        <v>6844.0433000000003</v>
      </c>
      <c r="L22" s="23">
        <v>6716.7</v>
      </c>
      <c r="M22" s="23">
        <v>6731.7</v>
      </c>
      <c r="N22" s="23">
        <v>6844.6277</v>
      </c>
      <c r="O22" s="23">
        <v>6736.7</v>
      </c>
      <c r="P22" s="23">
        <v>6718.5</v>
      </c>
      <c r="Q22" s="23">
        <v>6168.7915000000003</v>
      </c>
      <c r="R22" s="23">
        <v>6037</v>
      </c>
      <c r="S22" s="23">
        <v>6103.8</v>
      </c>
      <c r="T22" s="23">
        <v>5980.8631999999998</v>
      </c>
      <c r="U22" s="23">
        <v>5845.5</v>
      </c>
      <c r="V22" s="23">
        <v>5862.9</v>
      </c>
    </row>
    <row r="23" spans="1:22" s="5" customFormat="1" x14ac:dyDescent="0.25">
      <c r="A23" s="4" t="s">
        <v>17</v>
      </c>
      <c r="B23" s="23">
        <v>6991.0990000000002</v>
      </c>
      <c r="C23" s="23">
        <v>6855.5</v>
      </c>
      <c r="D23" s="23">
        <v>6865.9</v>
      </c>
      <c r="E23" s="23">
        <v>7032.3914999999997</v>
      </c>
      <c r="F23" s="23">
        <v>6896.7</v>
      </c>
      <c r="G23" s="23">
        <v>6903.6</v>
      </c>
      <c r="H23" s="23">
        <v>6969.0798000000004</v>
      </c>
      <c r="I23" s="23">
        <v>6834.1</v>
      </c>
      <c r="J23" s="23">
        <v>6856.9</v>
      </c>
      <c r="K23" s="23">
        <v>6955.4850999999999</v>
      </c>
      <c r="L23" s="23">
        <v>6832.5</v>
      </c>
      <c r="M23" s="23">
        <v>6840.9</v>
      </c>
      <c r="N23" s="23">
        <v>7007.3059000000003</v>
      </c>
      <c r="O23" s="23">
        <v>6894.7</v>
      </c>
      <c r="P23" s="23">
        <v>6827.8</v>
      </c>
      <c r="Q23" s="23">
        <v>6312.3625000000002</v>
      </c>
      <c r="R23" s="23">
        <v>6178.6</v>
      </c>
      <c r="S23" s="23">
        <v>6207.9</v>
      </c>
      <c r="T23" s="23">
        <v>6057.4840999999997</v>
      </c>
      <c r="U23" s="23">
        <v>5922.5</v>
      </c>
      <c r="V23" s="23">
        <v>5963</v>
      </c>
    </row>
    <row r="24" spans="1:22" s="5" customFormat="1" x14ac:dyDescent="0.25">
      <c r="A24" s="4" t="s">
        <v>18</v>
      </c>
      <c r="B24" s="23">
        <v>7076.3951999999999</v>
      </c>
      <c r="C24" s="23">
        <v>6932.5</v>
      </c>
      <c r="D24" s="23">
        <v>6958.5</v>
      </c>
      <c r="E24" s="23">
        <v>7116.9983000000002</v>
      </c>
      <c r="F24" s="23">
        <v>6980.1</v>
      </c>
      <c r="G24" s="23">
        <v>6980.8</v>
      </c>
      <c r="H24" s="23">
        <v>7057.8265000000001</v>
      </c>
      <c r="I24" s="23">
        <v>6928.2</v>
      </c>
      <c r="J24" s="23">
        <v>6940.7</v>
      </c>
      <c r="K24" s="23">
        <v>7049.2209000000003</v>
      </c>
      <c r="L24" s="23">
        <v>6918.2</v>
      </c>
      <c r="M24" s="23">
        <v>6923.9</v>
      </c>
      <c r="N24" s="23">
        <v>7118.9276</v>
      </c>
      <c r="O24" s="23">
        <v>7004.3</v>
      </c>
      <c r="P24" s="23">
        <v>6948.7</v>
      </c>
      <c r="Q24" s="23">
        <v>6430.2417999999998</v>
      </c>
      <c r="R24" s="23">
        <v>6298.1</v>
      </c>
      <c r="S24" s="23">
        <v>6313.7</v>
      </c>
      <c r="T24" s="23">
        <v>6134.8397000000004</v>
      </c>
      <c r="U24" s="23">
        <v>5996.3</v>
      </c>
      <c r="V24" s="23">
        <v>6043.6</v>
      </c>
    </row>
    <row r="25" spans="1:22" s="5" customFormat="1" x14ac:dyDescent="0.25">
      <c r="A25" s="4" t="s">
        <v>19</v>
      </c>
      <c r="B25" s="23">
        <v>7090.1518999999998</v>
      </c>
      <c r="C25" s="23">
        <v>6958.6</v>
      </c>
      <c r="D25" s="23">
        <v>7013.3</v>
      </c>
      <c r="E25" s="23">
        <v>7154.9811</v>
      </c>
      <c r="F25" s="23">
        <v>7021.9</v>
      </c>
      <c r="G25" s="23">
        <v>7044.4</v>
      </c>
      <c r="H25" s="23">
        <v>7111.2142999999996</v>
      </c>
      <c r="I25" s="23">
        <v>6987.4</v>
      </c>
      <c r="J25" s="23">
        <v>6993.1</v>
      </c>
      <c r="K25" s="23">
        <v>7090.3977000000004</v>
      </c>
      <c r="L25" s="23">
        <v>6962</v>
      </c>
      <c r="M25" s="23">
        <v>6984</v>
      </c>
      <c r="N25" s="23">
        <v>7177.7437</v>
      </c>
      <c r="O25" s="23">
        <v>7067.3</v>
      </c>
      <c r="P25" s="23">
        <v>7029.8</v>
      </c>
      <c r="Q25" s="23">
        <v>6487.7541000000001</v>
      </c>
      <c r="R25" s="23">
        <v>6354.9</v>
      </c>
      <c r="S25" s="23">
        <v>6414.3</v>
      </c>
      <c r="T25" s="23">
        <v>6199.3621000000003</v>
      </c>
      <c r="U25" s="23">
        <v>6063.8</v>
      </c>
      <c r="V25" s="23">
        <v>6122</v>
      </c>
    </row>
    <row r="26" spans="1:22" s="5" customFormat="1" x14ac:dyDescent="0.25">
      <c r="A26" s="4" t="s">
        <v>20</v>
      </c>
      <c r="B26" s="23">
        <v>7140.5446000000002</v>
      </c>
      <c r="C26" s="23">
        <v>7012.1</v>
      </c>
      <c r="D26" s="23">
        <v>7074.4</v>
      </c>
      <c r="E26" s="23">
        <v>7191.49</v>
      </c>
      <c r="F26" s="23">
        <v>7055.7</v>
      </c>
      <c r="G26" s="23">
        <v>7104.8</v>
      </c>
      <c r="H26" s="23">
        <v>7178.6359000000002</v>
      </c>
      <c r="I26" s="23">
        <v>7051</v>
      </c>
      <c r="J26" s="23">
        <v>7039.9</v>
      </c>
      <c r="K26" s="23">
        <v>7150.2596000000003</v>
      </c>
      <c r="L26" s="23">
        <v>7022.4</v>
      </c>
      <c r="M26" s="23">
        <v>7042.2</v>
      </c>
      <c r="N26" s="23">
        <v>7231.7300999999998</v>
      </c>
      <c r="O26" s="23">
        <v>7116.7</v>
      </c>
      <c r="P26" s="23">
        <v>7096</v>
      </c>
      <c r="Q26" s="23">
        <v>6537.0231999999996</v>
      </c>
      <c r="R26" s="23">
        <v>6399.7</v>
      </c>
      <c r="S26" s="23">
        <v>6495.9</v>
      </c>
      <c r="T26" s="23">
        <v>6276.2304000000004</v>
      </c>
      <c r="U26" s="23">
        <v>6134.5</v>
      </c>
      <c r="V26" s="23">
        <v>6156.6</v>
      </c>
    </row>
    <row r="27" spans="1:22" s="5" customFormat="1" x14ac:dyDescent="0.25">
      <c r="A27" s="4" t="s">
        <v>21</v>
      </c>
      <c r="B27" s="23">
        <v>7182.5012999999999</v>
      </c>
      <c r="C27" s="23">
        <v>7046</v>
      </c>
      <c r="D27" s="23">
        <v>7036.9</v>
      </c>
      <c r="E27" s="23">
        <v>7198.1189999999997</v>
      </c>
      <c r="F27" s="23">
        <v>7063.3</v>
      </c>
      <c r="G27" s="23">
        <v>7099.3</v>
      </c>
      <c r="H27" s="23">
        <v>7206.6161000000002</v>
      </c>
      <c r="I27" s="23">
        <v>7082.5</v>
      </c>
      <c r="J27" s="23">
        <v>7057.7</v>
      </c>
      <c r="K27" s="23">
        <v>7181.3005000000003</v>
      </c>
      <c r="L27" s="23">
        <v>7054.2</v>
      </c>
      <c r="M27" s="23">
        <v>7046.2</v>
      </c>
      <c r="N27" s="23">
        <v>7237.5505000000003</v>
      </c>
      <c r="O27" s="23">
        <v>7125.5</v>
      </c>
      <c r="P27" s="23">
        <v>7124.3</v>
      </c>
      <c r="Q27" s="23">
        <v>6583.0932000000003</v>
      </c>
      <c r="R27" s="23">
        <v>6447</v>
      </c>
      <c r="S27" s="23">
        <v>6526.4</v>
      </c>
      <c r="T27" s="23">
        <v>6244.1498000000001</v>
      </c>
      <c r="U27" s="23">
        <v>6108.1</v>
      </c>
      <c r="V27" s="23">
        <v>6195</v>
      </c>
    </row>
    <row r="28" spans="1:22" s="5" customFormat="1" x14ac:dyDescent="0.25">
      <c r="A28" s="4" t="s">
        <v>22</v>
      </c>
      <c r="B28" s="23">
        <v>7166.8759</v>
      </c>
      <c r="C28" s="23">
        <v>7040.8</v>
      </c>
      <c r="D28" s="23">
        <v>7004.7</v>
      </c>
      <c r="E28" s="23">
        <v>7160.0154000000002</v>
      </c>
      <c r="F28" s="23">
        <v>7026.4</v>
      </c>
      <c r="G28" s="23">
        <v>7054.3</v>
      </c>
      <c r="H28" s="23">
        <v>7198.6697000000004</v>
      </c>
      <c r="I28" s="23">
        <v>7068.4</v>
      </c>
      <c r="J28" s="23">
        <v>7031.8</v>
      </c>
      <c r="K28" s="23">
        <v>7191.9556000000002</v>
      </c>
      <c r="L28" s="23">
        <v>7060.7</v>
      </c>
      <c r="M28" s="23">
        <v>7024.2</v>
      </c>
      <c r="N28" s="23">
        <v>7242.6040999999996</v>
      </c>
      <c r="O28" s="23">
        <v>7125.2</v>
      </c>
      <c r="P28" s="23">
        <v>7097</v>
      </c>
      <c r="Q28" s="23">
        <v>6605.2710999999999</v>
      </c>
      <c r="R28" s="23">
        <v>6478</v>
      </c>
      <c r="S28" s="23">
        <v>6497.4</v>
      </c>
      <c r="T28" s="23">
        <v>6252.8559999999998</v>
      </c>
      <c r="U28" s="23">
        <v>6118.2</v>
      </c>
      <c r="V28" s="23">
        <v>6231.9</v>
      </c>
    </row>
    <row r="29" spans="1:22" s="5" customFormat="1" x14ac:dyDescent="0.25">
      <c r="A29" s="4" t="s">
        <v>23</v>
      </c>
      <c r="B29" s="23">
        <v>7145.3572000000004</v>
      </c>
      <c r="C29" s="23">
        <v>7015.8</v>
      </c>
      <c r="D29" s="23">
        <v>7017.5</v>
      </c>
      <c r="E29" s="23">
        <v>7155.3362999999999</v>
      </c>
      <c r="F29" s="23">
        <v>7023.5</v>
      </c>
      <c r="G29" s="23">
        <v>7043.9</v>
      </c>
      <c r="H29" s="23">
        <v>7120.027</v>
      </c>
      <c r="I29" s="23">
        <v>6991.2</v>
      </c>
      <c r="J29" s="23">
        <v>7043.2</v>
      </c>
      <c r="K29" s="23">
        <v>7159.0721999999996</v>
      </c>
      <c r="L29" s="23">
        <v>7026.9</v>
      </c>
      <c r="M29" s="23">
        <v>7016.6</v>
      </c>
      <c r="N29" s="23">
        <v>7201.2676000000001</v>
      </c>
      <c r="O29" s="23">
        <v>7084.5</v>
      </c>
      <c r="P29" s="23">
        <v>7065.6</v>
      </c>
      <c r="Q29" s="23">
        <v>6593.5020000000004</v>
      </c>
      <c r="R29" s="23">
        <v>6464.2</v>
      </c>
      <c r="S29" s="23">
        <v>6477.3</v>
      </c>
      <c r="T29" s="23">
        <v>6276.5590000000002</v>
      </c>
      <c r="U29" s="23">
        <v>6147</v>
      </c>
      <c r="V29" s="23">
        <v>6154.3</v>
      </c>
    </row>
    <row r="30" spans="1:22" s="5" customFormat="1" x14ac:dyDescent="0.25">
      <c r="A30" s="4" t="s">
        <v>24</v>
      </c>
      <c r="B30" s="23">
        <v>7084.5393000000004</v>
      </c>
      <c r="C30" s="23">
        <v>6950.1</v>
      </c>
      <c r="D30" s="23">
        <v>6991.2</v>
      </c>
      <c r="E30" s="23">
        <v>7093.8572000000004</v>
      </c>
      <c r="F30" s="23">
        <v>6963.7</v>
      </c>
      <c r="G30" s="23">
        <v>6984.5</v>
      </c>
      <c r="H30" s="23">
        <v>7064.7551999999996</v>
      </c>
      <c r="I30" s="23">
        <v>6930.8</v>
      </c>
      <c r="J30" s="23">
        <v>7007.5</v>
      </c>
      <c r="K30" s="23">
        <v>7081.5727999999999</v>
      </c>
      <c r="L30" s="23">
        <v>6953.8</v>
      </c>
      <c r="M30" s="23">
        <v>6984.2</v>
      </c>
      <c r="N30" s="23">
        <v>7139.9751999999999</v>
      </c>
      <c r="O30" s="23">
        <v>7024.9</v>
      </c>
      <c r="P30" s="23">
        <v>7024.3</v>
      </c>
      <c r="Q30" s="23">
        <v>6542.2528000000002</v>
      </c>
      <c r="R30" s="23">
        <v>6409.2</v>
      </c>
      <c r="S30" s="23">
        <v>6454.9</v>
      </c>
      <c r="T30" s="23">
        <v>6280.2296999999999</v>
      </c>
      <c r="U30" s="23">
        <v>6147.2</v>
      </c>
      <c r="V30" s="23">
        <v>6123.1</v>
      </c>
    </row>
    <row r="31" spans="1:22" s="5" customFormat="1" x14ac:dyDescent="0.25">
      <c r="A31" s="4" t="s">
        <v>25</v>
      </c>
      <c r="B31" s="23">
        <v>7056.2212</v>
      </c>
      <c r="C31" s="23">
        <v>6931.6</v>
      </c>
      <c r="D31" s="23">
        <v>6947.3</v>
      </c>
      <c r="E31" s="23">
        <v>7071.7764999999999</v>
      </c>
      <c r="F31" s="23">
        <v>6946.7</v>
      </c>
      <c r="G31" s="23">
        <v>6946.5</v>
      </c>
      <c r="H31" s="23">
        <v>7047.8932999999997</v>
      </c>
      <c r="I31" s="23">
        <v>6917.8</v>
      </c>
      <c r="J31" s="23">
        <v>6922.2</v>
      </c>
      <c r="K31" s="23">
        <v>7081.9930999999997</v>
      </c>
      <c r="L31" s="23">
        <v>6951.4</v>
      </c>
      <c r="M31" s="23">
        <v>6945</v>
      </c>
      <c r="N31" s="23">
        <v>7109.0158000000001</v>
      </c>
      <c r="O31" s="23">
        <v>6997.2</v>
      </c>
      <c r="P31" s="23">
        <v>6990.9</v>
      </c>
      <c r="Q31" s="23">
        <v>6536.0132999999996</v>
      </c>
      <c r="R31" s="23">
        <v>6403.6</v>
      </c>
      <c r="S31" s="23">
        <v>6433.1</v>
      </c>
      <c r="T31" s="23">
        <v>6256.9283999999998</v>
      </c>
      <c r="U31" s="23">
        <v>6122.8</v>
      </c>
      <c r="V31" s="23">
        <v>6146.7</v>
      </c>
    </row>
    <row r="32" spans="1:22" s="5" customFormat="1" x14ac:dyDescent="0.25">
      <c r="A32" s="4" t="s">
        <v>26</v>
      </c>
      <c r="B32" s="23">
        <v>7116.7097999999996</v>
      </c>
      <c r="C32" s="23">
        <v>6989.3</v>
      </c>
      <c r="D32" s="23">
        <v>6992.7</v>
      </c>
      <c r="E32" s="23">
        <v>7129.2970999999998</v>
      </c>
      <c r="F32" s="23">
        <v>6999.3</v>
      </c>
      <c r="G32" s="23">
        <v>7002.2</v>
      </c>
      <c r="H32" s="23">
        <v>7118.2345999999998</v>
      </c>
      <c r="I32" s="23">
        <v>6991.3</v>
      </c>
      <c r="J32" s="23">
        <v>6984.8</v>
      </c>
      <c r="K32" s="23">
        <v>7110.4129000000003</v>
      </c>
      <c r="L32" s="23">
        <v>6978.4</v>
      </c>
      <c r="M32" s="23">
        <v>6994.7</v>
      </c>
      <c r="N32" s="23">
        <v>7123.8891000000003</v>
      </c>
      <c r="O32" s="23">
        <v>7008.4</v>
      </c>
      <c r="P32" s="23">
        <v>7056.9</v>
      </c>
      <c r="Q32" s="23">
        <v>6566.0853999999999</v>
      </c>
      <c r="R32" s="23">
        <v>6442.8</v>
      </c>
      <c r="S32" s="23">
        <v>6412.2</v>
      </c>
      <c r="T32" s="23">
        <v>6284.0326999999997</v>
      </c>
      <c r="U32" s="23">
        <v>6147.9</v>
      </c>
      <c r="V32" s="23">
        <v>6214.4</v>
      </c>
    </row>
    <row r="33" spans="1:22" s="5" customFormat="1" x14ac:dyDescent="0.25">
      <c r="A33" s="4" t="s">
        <v>27</v>
      </c>
      <c r="B33" s="23">
        <v>7185.2047000000002</v>
      </c>
      <c r="C33" s="23">
        <v>7052.2</v>
      </c>
      <c r="D33" s="23">
        <v>7044.3</v>
      </c>
      <c r="E33" s="23">
        <v>7166.8603999999996</v>
      </c>
      <c r="F33" s="23">
        <v>7038</v>
      </c>
      <c r="G33" s="23">
        <v>7049.3</v>
      </c>
      <c r="H33" s="23">
        <v>7168.2646000000004</v>
      </c>
      <c r="I33" s="23">
        <v>7034</v>
      </c>
      <c r="J33" s="23">
        <v>7041.1</v>
      </c>
      <c r="K33" s="23">
        <v>7105.7435999999998</v>
      </c>
      <c r="L33" s="23">
        <v>6972.1</v>
      </c>
      <c r="M33" s="23">
        <v>7064</v>
      </c>
      <c r="N33" s="23">
        <v>7128.2846</v>
      </c>
      <c r="O33" s="23">
        <v>7013.1</v>
      </c>
      <c r="P33" s="23">
        <v>7095.9</v>
      </c>
      <c r="Q33" s="23">
        <v>6605.5528999999997</v>
      </c>
      <c r="R33" s="23">
        <v>6478.7</v>
      </c>
      <c r="S33" s="23">
        <v>6440.7</v>
      </c>
      <c r="T33" s="23">
        <v>6345.7416000000003</v>
      </c>
      <c r="U33" s="23">
        <v>6214.3</v>
      </c>
      <c r="V33" s="23">
        <v>6235.7</v>
      </c>
    </row>
    <row r="34" spans="1:22" s="5" customFormat="1" x14ac:dyDescent="0.25">
      <c r="A34" s="4" t="s">
        <v>28</v>
      </c>
      <c r="B34" s="23">
        <v>7221.7287999999999</v>
      </c>
      <c r="C34" s="23">
        <v>7091.6</v>
      </c>
      <c r="D34" s="23">
        <v>7064.7</v>
      </c>
      <c r="E34" s="23">
        <v>7220.5255999999999</v>
      </c>
      <c r="F34" s="23">
        <v>7087</v>
      </c>
      <c r="G34" s="23">
        <v>7066.4</v>
      </c>
      <c r="H34" s="23">
        <v>7196.3398999999999</v>
      </c>
      <c r="I34" s="23">
        <v>7055.6</v>
      </c>
      <c r="J34" s="23">
        <v>7069.8</v>
      </c>
      <c r="K34" s="23">
        <v>7124.4353000000001</v>
      </c>
      <c r="L34" s="23">
        <v>6990.3</v>
      </c>
      <c r="M34" s="23">
        <v>7060.2</v>
      </c>
      <c r="N34" s="23">
        <v>7144.3923000000004</v>
      </c>
      <c r="O34" s="23">
        <v>7025.1</v>
      </c>
      <c r="P34" s="23">
        <v>7087.3</v>
      </c>
      <c r="Q34" s="23">
        <v>6595.1405999999997</v>
      </c>
      <c r="R34" s="23">
        <v>6470.1</v>
      </c>
      <c r="S34" s="23">
        <v>6458</v>
      </c>
      <c r="T34" s="23">
        <v>6392.0982999999997</v>
      </c>
      <c r="U34" s="23">
        <v>6255.6</v>
      </c>
      <c r="V34" s="23">
        <v>6209.3</v>
      </c>
    </row>
    <row r="35" spans="1:22" s="5" customFormat="1" x14ac:dyDescent="0.25">
      <c r="A35" s="4" t="s">
        <v>29</v>
      </c>
      <c r="B35" s="23">
        <v>7225.8705</v>
      </c>
      <c r="C35" s="23">
        <v>7097.1</v>
      </c>
      <c r="D35" s="23">
        <v>7071.8</v>
      </c>
      <c r="E35" s="23">
        <v>7193.8990999999996</v>
      </c>
      <c r="F35" s="23">
        <v>7062</v>
      </c>
      <c r="G35" s="23">
        <v>7085.4</v>
      </c>
      <c r="H35" s="23">
        <v>7163.99</v>
      </c>
      <c r="I35" s="23">
        <v>7022.1</v>
      </c>
      <c r="J35" s="23">
        <v>7084.8</v>
      </c>
      <c r="K35" s="23">
        <v>7120.5394999999999</v>
      </c>
      <c r="L35" s="23">
        <v>6990.2</v>
      </c>
      <c r="M35" s="23">
        <v>7026.4</v>
      </c>
      <c r="N35" s="23">
        <v>7126.7515000000003</v>
      </c>
      <c r="O35" s="23">
        <v>7009.3</v>
      </c>
      <c r="P35" s="23">
        <v>7057.3</v>
      </c>
      <c r="Q35" s="23">
        <v>6532.4593000000004</v>
      </c>
      <c r="R35" s="23">
        <v>6405.5</v>
      </c>
      <c r="S35" s="23">
        <v>6486.7</v>
      </c>
      <c r="T35" s="23">
        <v>6412.4422000000004</v>
      </c>
      <c r="U35" s="23">
        <v>6273</v>
      </c>
      <c r="V35" s="23">
        <v>6255.6</v>
      </c>
    </row>
    <row r="36" spans="1:22" s="5" customFormat="1" x14ac:dyDescent="0.25">
      <c r="A36" s="4" t="s">
        <v>30</v>
      </c>
      <c r="B36" s="23">
        <v>7235.3485000000001</v>
      </c>
      <c r="C36" s="23">
        <v>7109.4</v>
      </c>
      <c r="D36" s="23">
        <v>7050.3</v>
      </c>
      <c r="E36" s="23">
        <v>7152.3720000000003</v>
      </c>
      <c r="F36" s="23">
        <v>7021.7</v>
      </c>
      <c r="G36" s="23">
        <v>7072.2</v>
      </c>
      <c r="H36" s="23">
        <v>7142.63</v>
      </c>
      <c r="I36" s="23">
        <v>7006.2</v>
      </c>
      <c r="J36" s="23">
        <v>7059.9</v>
      </c>
      <c r="K36" s="23">
        <v>7098.3566000000001</v>
      </c>
      <c r="L36" s="23">
        <v>6971.7</v>
      </c>
      <c r="M36" s="23">
        <v>7003.3</v>
      </c>
      <c r="N36" s="23">
        <v>7080.5411999999997</v>
      </c>
      <c r="O36" s="23">
        <v>6968.3</v>
      </c>
      <c r="P36" s="23">
        <v>7019.9</v>
      </c>
      <c r="Q36" s="23">
        <v>6506.3041999999996</v>
      </c>
      <c r="R36" s="23">
        <v>6381.6</v>
      </c>
      <c r="S36" s="23">
        <v>6466.1</v>
      </c>
      <c r="T36" s="23">
        <v>6417.1284999999998</v>
      </c>
      <c r="U36" s="23">
        <v>6282</v>
      </c>
      <c r="V36" s="23">
        <v>6290.4</v>
      </c>
    </row>
    <row r="37" spans="1:22" s="5" customFormat="1" x14ac:dyDescent="0.25">
      <c r="A37" s="4" t="s">
        <v>31</v>
      </c>
      <c r="B37" s="23">
        <v>7208.3910999999998</v>
      </c>
      <c r="C37" s="23">
        <v>7085.7</v>
      </c>
      <c r="D37" s="23">
        <v>7078.2</v>
      </c>
      <c r="E37" s="23">
        <v>7163.2569000000003</v>
      </c>
      <c r="F37" s="23">
        <v>7034.3</v>
      </c>
      <c r="G37" s="23">
        <v>7057.3</v>
      </c>
      <c r="H37" s="23">
        <v>7155.5797000000002</v>
      </c>
      <c r="I37" s="23">
        <v>7021.3</v>
      </c>
      <c r="J37" s="23">
        <v>7020</v>
      </c>
      <c r="K37" s="23">
        <v>7152.4979999999996</v>
      </c>
      <c r="L37" s="23">
        <v>7024.7</v>
      </c>
      <c r="M37" s="23">
        <v>7003.5</v>
      </c>
      <c r="N37" s="23">
        <v>7114.4808000000003</v>
      </c>
      <c r="O37" s="23">
        <v>7000.7</v>
      </c>
      <c r="P37" s="23">
        <v>7010.8</v>
      </c>
      <c r="Q37" s="23">
        <v>6514.5576000000001</v>
      </c>
      <c r="R37" s="23">
        <v>6382.2</v>
      </c>
      <c r="S37" s="23">
        <v>6427.9</v>
      </c>
      <c r="T37" s="23">
        <v>6401.2755999999999</v>
      </c>
      <c r="U37" s="23">
        <v>6270.9</v>
      </c>
      <c r="V37" s="23">
        <v>6318.9</v>
      </c>
    </row>
    <row r="38" spans="1:22" s="5" customFormat="1" x14ac:dyDescent="0.25">
      <c r="A38" s="4" t="s">
        <v>32</v>
      </c>
      <c r="B38" s="23">
        <v>7264.6939000000002</v>
      </c>
      <c r="C38" s="23">
        <v>7141.2</v>
      </c>
      <c r="D38" s="23">
        <v>7130.4</v>
      </c>
      <c r="E38" s="23">
        <v>7193.7511000000004</v>
      </c>
      <c r="F38" s="23">
        <v>7071.1</v>
      </c>
      <c r="G38" s="23">
        <v>7061.7</v>
      </c>
      <c r="H38" s="23">
        <v>7157.1652999999997</v>
      </c>
      <c r="I38" s="23">
        <v>7028.4</v>
      </c>
      <c r="J38" s="23">
        <v>7052.9</v>
      </c>
      <c r="K38" s="23">
        <v>7171.7731999999996</v>
      </c>
      <c r="L38" s="23">
        <v>7045.4</v>
      </c>
      <c r="M38" s="23">
        <v>7034.5</v>
      </c>
      <c r="N38" s="23">
        <v>7155.6808000000001</v>
      </c>
      <c r="O38" s="23">
        <v>7045.8</v>
      </c>
      <c r="P38" s="23">
        <v>7024.3</v>
      </c>
      <c r="Q38" s="23">
        <v>6480.93</v>
      </c>
      <c r="R38" s="23">
        <v>6351.1</v>
      </c>
      <c r="S38" s="23">
        <v>6449.1</v>
      </c>
      <c r="T38" s="23">
        <v>6470.4522999999999</v>
      </c>
      <c r="U38" s="23">
        <v>6341.7</v>
      </c>
      <c r="V38" s="23">
        <v>6341.3</v>
      </c>
    </row>
    <row r="39" spans="1:22" s="5" customFormat="1" x14ac:dyDescent="0.25">
      <c r="A39" s="4" t="s">
        <v>33</v>
      </c>
      <c r="B39" s="23">
        <v>7271.7511999999997</v>
      </c>
      <c r="C39" s="23">
        <v>7148.5</v>
      </c>
      <c r="D39" s="23">
        <v>7124</v>
      </c>
      <c r="E39" s="23">
        <v>7198.5740999999998</v>
      </c>
      <c r="F39" s="23">
        <v>7077.5</v>
      </c>
      <c r="G39" s="23">
        <v>7063.1</v>
      </c>
      <c r="H39" s="23">
        <v>7170.4618</v>
      </c>
      <c r="I39" s="23">
        <v>7042.2</v>
      </c>
      <c r="J39" s="23">
        <v>7079</v>
      </c>
      <c r="K39" s="23">
        <v>7201.9093000000003</v>
      </c>
      <c r="L39" s="23">
        <v>7074.4</v>
      </c>
      <c r="M39" s="23">
        <v>7063.8</v>
      </c>
      <c r="N39" s="23">
        <v>7171.8788999999997</v>
      </c>
      <c r="O39" s="23">
        <v>7063.2</v>
      </c>
      <c r="P39" s="23">
        <v>7056</v>
      </c>
      <c r="Q39" s="23">
        <v>6482.8222999999998</v>
      </c>
      <c r="R39" s="23">
        <v>6355.2</v>
      </c>
      <c r="S39" s="23">
        <v>6433.3</v>
      </c>
      <c r="T39" s="23">
        <v>6485.7605000000003</v>
      </c>
      <c r="U39" s="23">
        <v>6347.1</v>
      </c>
      <c r="V39" s="23">
        <v>6357.3</v>
      </c>
    </row>
    <row r="40" spans="1:22" s="5" customFormat="1" x14ac:dyDescent="0.25">
      <c r="A40" s="4" t="s">
        <v>34</v>
      </c>
      <c r="B40" s="23">
        <v>7292.8849</v>
      </c>
      <c r="C40" s="23">
        <v>7173.4</v>
      </c>
      <c r="D40" s="23">
        <v>7143</v>
      </c>
      <c r="E40" s="23">
        <v>7209.6228000000001</v>
      </c>
      <c r="F40" s="23">
        <v>7084.8</v>
      </c>
      <c r="G40" s="23">
        <v>7083.7</v>
      </c>
      <c r="H40" s="23">
        <v>7162.1840000000002</v>
      </c>
      <c r="I40" s="23">
        <v>7032.4</v>
      </c>
      <c r="J40" s="23">
        <v>7079.4</v>
      </c>
      <c r="K40" s="23">
        <v>7203.5562</v>
      </c>
      <c r="L40" s="23">
        <v>7081.1</v>
      </c>
      <c r="M40" s="23">
        <v>7065.6</v>
      </c>
      <c r="N40" s="23">
        <v>7132.8181999999997</v>
      </c>
      <c r="O40" s="23">
        <v>7025</v>
      </c>
      <c r="P40" s="23">
        <v>7078.1</v>
      </c>
      <c r="Q40" s="23">
        <v>6538.8352999999997</v>
      </c>
      <c r="R40" s="23">
        <v>6407.7</v>
      </c>
      <c r="S40" s="23">
        <v>6387.5</v>
      </c>
      <c r="T40" s="23">
        <v>6514.1751000000004</v>
      </c>
      <c r="U40" s="23">
        <v>6384.6</v>
      </c>
      <c r="V40" s="23">
        <v>6411.4</v>
      </c>
    </row>
    <row r="41" spans="1:22" s="5" customFormat="1" x14ac:dyDescent="0.25">
      <c r="A41" s="4" t="s">
        <v>35</v>
      </c>
      <c r="B41" s="23">
        <v>7261.1911</v>
      </c>
      <c r="C41" s="23">
        <v>7136.8</v>
      </c>
      <c r="D41" s="23">
        <v>7105.3</v>
      </c>
      <c r="E41" s="23">
        <v>7184.8879999999999</v>
      </c>
      <c r="F41" s="23">
        <v>7052.9</v>
      </c>
      <c r="G41" s="23">
        <v>7070</v>
      </c>
      <c r="H41" s="23">
        <v>7133.4579999999996</v>
      </c>
      <c r="I41" s="23">
        <v>7002.2</v>
      </c>
      <c r="J41" s="23">
        <v>7063.5</v>
      </c>
      <c r="K41" s="23">
        <v>7192.5896000000002</v>
      </c>
      <c r="L41" s="23">
        <v>7060.8</v>
      </c>
      <c r="M41" s="23">
        <v>7069.2</v>
      </c>
      <c r="N41" s="23">
        <v>7102.0748999999996</v>
      </c>
      <c r="O41" s="23">
        <v>6988.5</v>
      </c>
      <c r="P41" s="23">
        <v>7059.1</v>
      </c>
      <c r="Q41" s="23">
        <v>6589.9326000000001</v>
      </c>
      <c r="R41" s="23">
        <v>6462.2</v>
      </c>
      <c r="S41" s="23">
        <v>6397.7</v>
      </c>
      <c r="T41" s="23">
        <v>6541.3675000000003</v>
      </c>
      <c r="U41" s="23">
        <v>6412</v>
      </c>
      <c r="V41" s="23">
        <v>6415.7</v>
      </c>
    </row>
    <row r="42" spans="1:22" s="5" customFormat="1" x14ac:dyDescent="0.25">
      <c r="A42" s="4" t="s">
        <v>36</v>
      </c>
      <c r="B42" s="23">
        <v>7175.0573000000004</v>
      </c>
      <c r="C42" s="23">
        <v>7047</v>
      </c>
      <c r="D42" s="23">
        <v>7067.3</v>
      </c>
      <c r="E42" s="23">
        <v>7121.9997000000003</v>
      </c>
      <c r="F42" s="23">
        <v>6989</v>
      </c>
      <c r="G42" s="23">
        <v>7001.7</v>
      </c>
      <c r="H42" s="23">
        <v>7080.4041999999999</v>
      </c>
      <c r="I42" s="23">
        <v>6950.3</v>
      </c>
      <c r="J42" s="23">
        <v>6963.7</v>
      </c>
      <c r="K42" s="23">
        <v>7086.3530000000001</v>
      </c>
      <c r="L42" s="23">
        <v>6957.8</v>
      </c>
      <c r="M42" s="23">
        <v>6990.2</v>
      </c>
      <c r="N42" s="23">
        <v>7032.2480999999998</v>
      </c>
      <c r="O42" s="23">
        <v>6912.8</v>
      </c>
      <c r="P42" s="23">
        <v>6953.5</v>
      </c>
      <c r="Q42" s="23">
        <v>6603.1893</v>
      </c>
      <c r="R42" s="23">
        <v>6473.5</v>
      </c>
      <c r="S42" s="23">
        <v>6438.6</v>
      </c>
      <c r="T42" s="23">
        <v>6565.7439999999997</v>
      </c>
      <c r="U42" s="23">
        <v>6437.9</v>
      </c>
      <c r="V42" s="23">
        <v>6467.2</v>
      </c>
    </row>
    <row r="43" spans="1:22" s="5" customFormat="1" x14ac:dyDescent="0.25">
      <c r="A43" s="4" t="s">
        <v>37</v>
      </c>
      <c r="B43" s="23">
        <v>7187.6751000000004</v>
      </c>
      <c r="C43" s="23">
        <v>7057.9</v>
      </c>
      <c r="D43" s="23">
        <v>7094.6</v>
      </c>
      <c r="E43" s="23">
        <v>7099.0424000000003</v>
      </c>
      <c r="F43" s="23">
        <v>6968.6</v>
      </c>
      <c r="G43" s="23">
        <v>6999.3</v>
      </c>
      <c r="H43" s="23">
        <v>7112.4907000000003</v>
      </c>
      <c r="I43" s="23">
        <v>6987.1</v>
      </c>
      <c r="J43" s="23">
        <v>6956.6</v>
      </c>
      <c r="K43" s="23">
        <v>7097.8744999999999</v>
      </c>
      <c r="L43" s="23">
        <v>6966.6</v>
      </c>
      <c r="M43" s="23">
        <v>6992</v>
      </c>
      <c r="N43" s="23">
        <v>7034.7295000000004</v>
      </c>
      <c r="O43" s="23">
        <v>6917.7</v>
      </c>
      <c r="P43" s="23">
        <v>6947.5</v>
      </c>
      <c r="Q43" s="23">
        <v>6649.4112999999998</v>
      </c>
      <c r="R43" s="23">
        <v>6519</v>
      </c>
      <c r="S43" s="23">
        <v>6527</v>
      </c>
      <c r="T43" s="23">
        <v>6604.0074000000004</v>
      </c>
      <c r="U43" s="23">
        <v>6475.4</v>
      </c>
      <c r="V43" s="23">
        <v>6507.1</v>
      </c>
    </row>
    <row r="44" spans="1:22" s="5" customFormat="1" x14ac:dyDescent="0.25">
      <c r="A44" s="4" t="s">
        <v>38</v>
      </c>
      <c r="B44" s="23">
        <v>7177.4750000000004</v>
      </c>
      <c r="C44" s="23">
        <v>7049.2</v>
      </c>
      <c r="D44" s="23">
        <v>7042.8</v>
      </c>
      <c r="E44" s="23">
        <v>7066.3581999999997</v>
      </c>
      <c r="F44" s="23">
        <v>6935.6</v>
      </c>
      <c r="G44" s="23">
        <v>6976.9</v>
      </c>
      <c r="H44" s="23">
        <v>7105.6347999999998</v>
      </c>
      <c r="I44" s="23">
        <v>6976.5</v>
      </c>
      <c r="J44" s="23">
        <v>6951.1</v>
      </c>
      <c r="K44" s="23">
        <v>7094.3554000000004</v>
      </c>
      <c r="L44" s="23">
        <v>6963.5</v>
      </c>
      <c r="M44" s="23">
        <v>6949.4</v>
      </c>
      <c r="N44" s="23">
        <v>6997.6293999999998</v>
      </c>
      <c r="O44" s="23">
        <v>6881.4</v>
      </c>
      <c r="P44" s="23">
        <v>6920.6</v>
      </c>
      <c r="Q44" s="23">
        <v>6688.3362999999999</v>
      </c>
      <c r="R44" s="23">
        <v>6552.9</v>
      </c>
      <c r="S44" s="23">
        <v>6572</v>
      </c>
      <c r="T44" s="23">
        <v>6646.5347000000002</v>
      </c>
      <c r="U44" s="23">
        <v>6517.8</v>
      </c>
      <c r="V44" s="23">
        <v>6520.8</v>
      </c>
    </row>
    <row r="45" spans="1:22" s="5" customFormat="1" x14ac:dyDescent="0.25">
      <c r="A45" s="4" t="s">
        <v>39</v>
      </c>
      <c r="B45" s="23">
        <v>7194.3919999999998</v>
      </c>
      <c r="C45" s="23">
        <v>7069.1</v>
      </c>
      <c r="D45" s="23">
        <v>7025.1</v>
      </c>
      <c r="E45" s="23">
        <v>7066.6094999999996</v>
      </c>
      <c r="F45" s="23">
        <v>6936.6</v>
      </c>
      <c r="G45" s="23">
        <v>6954.2</v>
      </c>
      <c r="H45" s="23">
        <v>7113.7268999999997</v>
      </c>
      <c r="I45" s="23">
        <v>6976.9</v>
      </c>
      <c r="J45" s="23">
        <v>6978.6</v>
      </c>
      <c r="K45" s="23">
        <v>7084.7237999999998</v>
      </c>
      <c r="L45" s="23">
        <v>6955.5</v>
      </c>
      <c r="M45" s="23">
        <v>6956.5</v>
      </c>
      <c r="N45" s="23">
        <v>6977.2493999999997</v>
      </c>
      <c r="O45" s="23">
        <v>6860.4</v>
      </c>
      <c r="P45" s="23">
        <v>6922.1</v>
      </c>
      <c r="Q45" s="23">
        <v>6715.3689999999997</v>
      </c>
      <c r="R45" s="23">
        <v>6581.6</v>
      </c>
      <c r="S45" s="23">
        <v>6583.3</v>
      </c>
      <c r="T45" s="23">
        <v>6698.3733000000002</v>
      </c>
      <c r="U45" s="23">
        <v>6569.4</v>
      </c>
      <c r="V45" s="23">
        <v>6557.9</v>
      </c>
    </row>
    <row r="46" spans="1:22" s="5" customFormat="1" x14ac:dyDescent="0.25">
      <c r="A46" s="4" t="s">
        <v>40</v>
      </c>
      <c r="B46" s="23">
        <v>7152.5425999999998</v>
      </c>
      <c r="C46" s="23">
        <v>7024.8</v>
      </c>
      <c r="D46" s="23">
        <v>7016.5</v>
      </c>
      <c r="E46" s="23">
        <v>7039.1945999999998</v>
      </c>
      <c r="F46" s="23">
        <v>6903.4</v>
      </c>
      <c r="G46" s="23">
        <v>6925.3</v>
      </c>
      <c r="H46" s="23">
        <v>7077.9768999999997</v>
      </c>
      <c r="I46" s="23">
        <v>6940.4</v>
      </c>
      <c r="J46" s="23">
        <v>6956.8</v>
      </c>
      <c r="K46" s="23">
        <v>7058.7902999999997</v>
      </c>
      <c r="L46" s="23">
        <v>6927.3</v>
      </c>
      <c r="M46" s="23">
        <v>6941.2</v>
      </c>
      <c r="N46" s="23">
        <v>6934.5663000000004</v>
      </c>
      <c r="O46" s="23">
        <v>6816.2</v>
      </c>
      <c r="P46" s="23">
        <v>6879.6</v>
      </c>
      <c r="Q46" s="23">
        <v>6719.9562999999998</v>
      </c>
      <c r="R46" s="23">
        <v>6593.6</v>
      </c>
      <c r="S46" s="23">
        <v>6593.3</v>
      </c>
      <c r="T46" s="23">
        <v>6716.4488000000001</v>
      </c>
      <c r="U46" s="23">
        <v>6590.8</v>
      </c>
      <c r="V46" s="23">
        <v>6599.5</v>
      </c>
    </row>
    <row r="47" spans="1:22" s="5" customFormat="1" x14ac:dyDescent="0.25">
      <c r="A47" s="4" t="s">
        <v>41</v>
      </c>
      <c r="B47" s="23">
        <v>7105.1460999999999</v>
      </c>
      <c r="C47" s="23">
        <v>6972.3</v>
      </c>
      <c r="D47" s="23">
        <v>6972.5</v>
      </c>
      <c r="E47" s="23">
        <v>6981.8690999999999</v>
      </c>
      <c r="F47" s="23">
        <v>6848.5</v>
      </c>
      <c r="G47" s="23">
        <v>6874.3</v>
      </c>
      <c r="H47" s="23">
        <v>7021.0429000000004</v>
      </c>
      <c r="I47" s="23">
        <v>6886.8</v>
      </c>
      <c r="J47" s="23">
        <v>6903.1</v>
      </c>
      <c r="K47" s="23">
        <v>7017.0159999999996</v>
      </c>
      <c r="L47" s="23">
        <v>6883.8</v>
      </c>
      <c r="M47" s="23">
        <v>6881.5</v>
      </c>
      <c r="N47" s="23">
        <v>6878.6477999999997</v>
      </c>
      <c r="O47" s="23">
        <v>6753.4</v>
      </c>
      <c r="P47" s="23">
        <v>6811</v>
      </c>
      <c r="Q47" s="23">
        <v>6707.3707999999997</v>
      </c>
      <c r="R47" s="23">
        <v>6580.8</v>
      </c>
      <c r="S47" s="23">
        <v>6584.2</v>
      </c>
      <c r="T47" s="23">
        <v>6720.0493999999999</v>
      </c>
      <c r="U47" s="23">
        <v>6590.5</v>
      </c>
      <c r="V47" s="23">
        <v>6600.3</v>
      </c>
    </row>
    <row r="48" spans="1:22" s="5" customFormat="1" x14ac:dyDescent="0.25">
      <c r="A48" s="4" t="s">
        <v>42</v>
      </c>
      <c r="B48" s="23">
        <v>7020.0402999999997</v>
      </c>
      <c r="C48" s="23">
        <v>6889.6</v>
      </c>
      <c r="D48" s="23">
        <v>6859.3</v>
      </c>
      <c r="E48" s="23">
        <v>6883.1704</v>
      </c>
      <c r="F48" s="23">
        <v>6752.8</v>
      </c>
      <c r="G48" s="23">
        <v>6778.4</v>
      </c>
      <c r="H48" s="23">
        <v>6933.9323000000004</v>
      </c>
      <c r="I48" s="23">
        <v>6799.7</v>
      </c>
      <c r="J48" s="23">
        <v>6815.6</v>
      </c>
      <c r="K48" s="23">
        <v>6943.6260000000002</v>
      </c>
      <c r="L48" s="23">
        <v>6813.1</v>
      </c>
      <c r="M48" s="23">
        <v>6794.1</v>
      </c>
      <c r="N48" s="23">
        <v>6804.8173999999999</v>
      </c>
      <c r="O48" s="23">
        <v>6683.3</v>
      </c>
      <c r="P48" s="23">
        <v>6716.6</v>
      </c>
      <c r="Q48" s="23">
        <v>6683.8957</v>
      </c>
      <c r="R48" s="23">
        <v>6558.6</v>
      </c>
      <c r="S48" s="23">
        <v>6556.6</v>
      </c>
      <c r="T48" s="23">
        <v>6706.5735000000004</v>
      </c>
      <c r="U48" s="23">
        <v>6577.4</v>
      </c>
      <c r="V48" s="23">
        <v>6570.7</v>
      </c>
    </row>
    <row r="49" spans="1:22" s="5" customFormat="1" x14ac:dyDescent="0.25">
      <c r="A49" s="4" t="s">
        <v>43</v>
      </c>
      <c r="B49" s="23">
        <v>6878.3471</v>
      </c>
      <c r="C49" s="23">
        <v>6756.8</v>
      </c>
      <c r="D49" s="23">
        <v>6762.7</v>
      </c>
      <c r="E49" s="23">
        <v>6761.0236000000004</v>
      </c>
      <c r="F49" s="23">
        <v>6631.6</v>
      </c>
      <c r="G49" s="23">
        <v>6649.1</v>
      </c>
      <c r="H49" s="23">
        <v>6807.4867000000004</v>
      </c>
      <c r="I49" s="23">
        <v>6674.7</v>
      </c>
      <c r="J49" s="23">
        <v>6687.1</v>
      </c>
      <c r="K49" s="23">
        <v>6821.5186999999996</v>
      </c>
      <c r="L49" s="23">
        <v>6692.8</v>
      </c>
      <c r="M49" s="23">
        <v>6673.1</v>
      </c>
      <c r="N49" s="23">
        <v>6695.5871999999999</v>
      </c>
      <c r="O49" s="23">
        <v>6581.9</v>
      </c>
      <c r="P49" s="23">
        <v>6584.5</v>
      </c>
      <c r="Q49" s="23">
        <v>6622.5366999999997</v>
      </c>
      <c r="R49" s="23">
        <v>6492</v>
      </c>
      <c r="S49" s="23">
        <v>6500.1</v>
      </c>
      <c r="T49" s="23">
        <v>6644.8851999999997</v>
      </c>
      <c r="U49" s="23">
        <v>6517.6</v>
      </c>
      <c r="V49" s="23">
        <v>6490.1</v>
      </c>
    </row>
    <row r="50" spans="1:22" s="5" customFormat="1" x14ac:dyDescent="0.25">
      <c r="A50" s="4" t="s">
        <v>44</v>
      </c>
      <c r="B50" s="23">
        <v>6690.0144</v>
      </c>
      <c r="C50" s="23">
        <v>6560.1</v>
      </c>
      <c r="D50" s="23">
        <v>6573.1</v>
      </c>
      <c r="E50" s="23">
        <v>6579.0227999999997</v>
      </c>
      <c r="F50" s="23">
        <v>6451.8</v>
      </c>
      <c r="G50" s="23">
        <v>6468.8</v>
      </c>
      <c r="H50" s="23">
        <v>6616.4539000000004</v>
      </c>
      <c r="I50" s="23">
        <v>6480.9</v>
      </c>
      <c r="J50" s="23">
        <v>6508.7</v>
      </c>
      <c r="K50" s="23">
        <v>6637.5234</v>
      </c>
      <c r="L50" s="23">
        <v>6510.4</v>
      </c>
      <c r="M50" s="23">
        <v>6504.7</v>
      </c>
      <c r="N50" s="23">
        <v>6541.6089000000002</v>
      </c>
      <c r="O50" s="23">
        <v>6425.5</v>
      </c>
      <c r="P50" s="23">
        <v>6414.7</v>
      </c>
      <c r="Q50" s="23">
        <v>6492.6253999999999</v>
      </c>
      <c r="R50" s="23">
        <v>6364</v>
      </c>
      <c r="S50" s="23">
        <v>6377.6</v>
      </c>
      <c r="T50" s="23">
        <v>6494.9273000000003</v>
      </c>
      <c r="U50" s="23">
        <v>6365.2</v>
      </c>
      <c r="V50" s="23">
        <v>6350.5</v>
      </c>
    </row>
    <row r="51" spans="1:22" s="5" customFormat="1" x14ac:dyDescent="0.25">
      <c r="A51" s="4" t="s">
        <v>45</v>
      </c>
      <c r="B51" s="23">
        <v>6537.1959999999999</v>
      </c>
      <c r="C51" s="23">
        <v>6415.7</v>
      </c>
      <c r="D51" s="23">
        <v>6353.6</v>
      </c>
      <c r="E51" s="23">
        <v>6432.1688000000004</v>
      </c>
      <c r="F51" s="23">
        <v>6308.8</v>
      </c>
      <c r="G51" s="23">
        <v>6319.9</v>
      </c>
      <c r="H51" s="23">
        <v>6466.7130999999999</v>
      </c>
      <c r="I51" s="23">
        <v>6329.1</v>
      </c>
      <c r="J51" s="23">
        <v>6363.1</v>
      </c>
      <c r="K51" s="23">
        <v>6483.7921999999999</v>
      </c>
      <c r="L51" s="23">
        <v>6356.4</v>
      </c>
      <c r="M51" s="23">
        <v>6360.2</v>
      </c>
      <c r="N51" s="23">
        <v>6413.8580000000002</v>
      </c>
      <c r="O51" s="23">
        <v>6297.7</v>
      </c>
      <c r="P51" s="23">
        <v>6283</v>
      </c>
      <c r="Q51" s="23">
        <v>6404.3312999999998</v>
      </c>
      <c r="R51" s="23">
        <v>6274.4</v>
      </c>
      <c r="S51" s="23">
        <v>6275</v>
      </c>
      <c r="T51" s="23">
        <v>6372.4353000000001</v>
      </c>
      <c r="U51" s="23">
        <v>6241.8</v>
      </c>
      <c r="V51" s="23">
        <v>6230.7</v>
      </c>
    </row>
    <row r="52" spans="1:22" s="5" customFormat="1" x14ac:dyDescent="0.25">
      <c r="A52" s="4" t="s">
        <v>46</v>
      </c>
      <c r="B52" s="23">
        <v>6394.0934999999999</v>
      </c>
      <c r="C52" s="23">
        <v>6270.1</v>
      </c>
      <c r="D52" s="23">
        <v>6192.2</v>
      </c>
      <c r="E52" s="23">
        <v>6268.0442000000003</v>
      </c>
      <c r="F52" s="23">
        <v>6142</v>
      </c>
      <c r="G52" s="23">
        <v>6174.6</v>
      </c>
      <c r="H52" s="23">
        <v>6316.2605999999996</v>
      </c>
      <c r="I52" s="23">
        <v>6181</v>
      </c>
      <c r="J52" s="23">
        <v>6213.8</v>
      </c>
      <c r="K52" s="23">
        <v>6332.3909999999996</v>
      </c>
      <c r="L52" s="23">
        <v>6204.7</v>
      </c>
      <c r="M52" s="23">
        <v>6215.2</v>
      </c>
      <c r="N52" s="23">
        <v>6287.7907999999998</v>
      </c>
      <c r="O52" s="23">
        <v>6172.4</v>
      </c>
      <c r="P52" s="23">
        <v>6153.9</v>
      </c>
      <c r="Q52" s="23">
        <v>6288.0637999999999</v>
      </c>
      <c r="R52" s="23">
        <v>6154.4</v>
      </c>
      <c r="S52" s="23">
        <v>6167.9</v>
      </c>
      <c r="T52" s="23">
        <v>6241.8453</v>
      </c>
      <c r="U52" s="23">
        <v>6108.2</v>
      </c>
      <c r="V52" s="23">
        <v>6102.8</v>
      </c>
    </row>
    <row r="53" spans="1:22" s="5" customFormat="1" x14ac:dyDescent="0.25">
      <c r="A53" s="4" t="s">
        <v>55</v>
      </c>
      <c r="B53" s="23">
        <v>6243.9593999999997</v>
      </c>
      <c r="C53" s="23">
        <v>6120.2</v>
      </c>
      <c r="D53" s="23">
        <v>6086.3</v>
      </c>
      <c r="E53" s="23">
        <v>6122.6480000000001</v>
      </c>
      <c r="F53" s="23">
        <v>5989.3</v>
      </c>
      <c r="G53" s="23">
        <v>6039.8</v>
      </c>
      <c r="H53" s="23">
        <v>6173.0328</v>
      </c>
      <c r="I53" s="23">
        <v>6045.4</v>
      </c>
      <c r="J53" s="23">
        <v>6066.5</v>
      </c>
      <c r="K53" s="23">
        <v>6190.3386</v>
      </c>
      <c r="L53" s="23">
        <v>6065.6</v>
      </c>
      <c r="M53" s="23">
        <v>6063.8</v>
      </c>
      <c r="N53" s="23">
        <v>6164.0421999999999</v>
      </c>
      <c r="O53" s="23">
        <v>6048.6</v>
      </c>
      <c r="P53" s="23">
        <v>6022.8</v>
      </c>
      <c r="Q53" s="23">
        <v>6166.799</v>
      </c>
      <c r="R53" s="23">
        <v>6029.2</v>
      </c>
      <c r="S53" s="23">
        <v>6073</v>
      </c>
      <c r="T53" s="23">
        <v>6115.6836000000003</v>
      </c>
      <c r="U53" s="23">
        <v>5978.8</v>
      </c>
      <c r="V53" s="23">
        <v>5984.8</v>
      </c>
    </row>
    <row r="55" spans="1:22" x14ac:dyDescent="0.25">
      <c r="A55" s="16" t="s">
        <v>60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x14ac:dyDescent="0.25">
      <c r="A56" s="7" t="s">
        <v>62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3" x14ac:dyDescent="0.25">
      <c r="A57" s="8" t="s">
        <v>63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3" x14ac:dyDescent="0.25">
      <c r="A58" s="8" t="s">
        <v>64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25">
      <c r="A59" s="16" t="s">
        <v>61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</sheetData>
  <mergeCells count="17">
    <mergeCell ref="N2:P2"/>
    <mergeCell ref="N3:P4"/>
    <mergeCell ref="A59:V59"/>
    <mergeCell ref="A55:V55"/>
    <mergeCell ref="A3:A5"/>
    <mergeCell ref="B2:D2"/>
    <mergeCell ref="B3:D4"/>
    <mergeCell ref="E3:G4"/>
    <mergeCell ref="E2:G2"/>
    <mergeCell ref="Q2:S2"/>
    <mergeCell ref="Q3:S4"/>
    <mergeCell ref="T3:V4"/>
    <mergeCell ref="T2:V2"/>
    <mergeCell ref="H2:J2"/>
    <mergeCell ref="H3:J4"/>
    <mergeCell ref="K2:M2"/>
    <mergeCell ref="K3:M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3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20_Message xmlns="8ec658c6-dba7-4aba-9565-cada3580c151" xsi:nil="true"/>
    <To xmlns="ffde67ac-ffe5-4439-8f85-bd14152e7e86">
      <UserInfo>
        <DisplayName/>
        <AccountId xsi:nil="true"/>
        <AccountType/>
      </UserInfo>
    </To>
    <Requester xmlns="8ec658c6-dba7-4aba-9565-cada3580c151">
      <UserInfo>
        <DisplayName/>
        <AccountId xsi:nil="true"/>
        <AccountType/>
      </UserInfo>
    </Requester>
    <FileShareTo xmlns="8ec658c6-dba7-4aba-9565-cada3580c151">
      <UserInfo>
        <DisplayName/>
        <AccountId xsi:nil="true"/>
        <AccountType/>
      </UserInfo>
    </FileShareTo>
    <CmtInputWF xmlns="8ec658c6-dba7-4aba-9565-cada3580c151" xsi:nil="true"/>
    <Approvers xmlns="8ec658c6-dba7-4aba-9565-cada3580c151">
      <UserInfo>
        <DisplayName/>
        <AccountId xsi:nil="true"/>
        <AccountType/>
      </UserInfo>
    </Approvers>
    <Get_x0020_Input_x0020_Status xmlns="8ec658c6-dba7-4aba-9565-cada3580c151" xsi:nil="true"/>
    <Get_x0020_Approver_x0020_Comments xmlns="8ec658c6-dba7-4aba-9565-cada3580c151" xsi:nil="true"/>
    <CC xmlns="8ec658c6-dba7-4aba-9565-cada3580c151">
      <UserInfo>
        <DisplayName/>
        <AccountId xsi:nil="true"/>
        <AccountType/>
      </UserInfo>
    </CC>
    <Input_x0020_Due_x0020_Date xmlns="8ec658c6-dba7-4aba-9565-cada3580c1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7532711F44748864E521553AA686E" ma:contentTypeVersion="24" ma:contentTypeDescription="Create a new document." ma:contentTypeScope="" ma:versionID="807eb58b51d96f2e4f37fd2c2f5a33fe">
  <xsd:schema xmlns:xsd="http://www.w3.org/2001/XMLSchema" xmlns:xs="http://www.w3.org/2001/XMLSchema" xmlns:p="http://schemas.microsoft.com/office/2006/metadata/properties" xmlns:ns2="ffde67ac-ffe5-4439-8f85-bd14152e7e86" xmlns:ns3="8ec658c6-dba7-4aba-9565-cada3580c151" xmlns:ns4="749c6f6d-5f98-4914-887f-119f566e6158" targetNamespace="http://schemas.microsoft.com/office/2006/metadata/properties" ma:root="true" ma:fieldsID="3720caa405375cddf7705031cbabb209" ns2:_="" ns3:_="" ns4:_="">
    <xsd:import namespace="ffde67ac-ffe5-4439-8f85-bd14152e7e86"/>
    <xsd:import namespace="8ec658c6-dba7-4aba-9565-cada3580c151"/>
    <xsd:import namespace="749c6f6d-5f98-4914-887f-119f566e6158"/>
    <xsd:element name="properties">
      <xsd:complexType>
        <xsd:sequence>
          <xsd:element name="documentManagement">
            <xsd:complexType>
              <xsd:all>
                <xsd:element ref="ns2:To" minOccurs="0"/>
                <xsd:element ref="ns3:Approvers" minOccurs="0"/>
                <xsd:element ref="ns3:CC" minOccurs="0"/>
                <xsd:element ref="ns3:CmtInputWF" minOccurs="0"/>
                <xsd:element ref="ns3:EMail_x0020_Message" minOccurs="0"/>
                <xsd:element ref="ns3:FileShareTo" minOccurs="0"/>
                <xsd:element ref="ns3:Get_x0020_Approver_x0020_Comments" minOccurs="0"/>
                <xsd:element ref="ns3:Get_x0020_Input_x0020_Status" minOccurs="0"/>
                <xsd:element ref="ns3:Input_x0020_Due_x0020_Date" minOccurs="0"/>
                <xsd:element ref="ns3:Requester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e67ac-ffe5-4439-8f85-bd14152e7e86" elementFormDefault="qualified">
    <xsd:import namespace="http://schemas.microsoft.com/office/2006/documentManagement/types"/>
    <xsd:import namespace="http://schemas.microsoft.com/office/infopath/2007/PartnerControls"/>
    <xsd:element name="To" ma:index="8" nillable="true" ma:displayName="To" ma:hidden="true" ma:list="UserInfo" ma:SearchPeopleOnly="false" ma:SharePointGroup="0" ma:internalName="To" ma:readOnly="false" ma:showField="EMai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658c6-dba7-4aba-9565-cada3580c151" elementFormDefault="qualified">
    <xsd:import namespace="http://schemas.microsoft.com/office/2006/documentManagement/types"/>
    <xsd:import namespace="http://schemas.microsoft.com/office/infopath/2007/PartnerControls"/>
    <xsd:element name="Approvers" ma:index="9" nillable="true" ma:displayName="Approvers" ma:hidden="true" ma:list="UserInfo" ma:SearchPeopleOnly="false" ma:SharePointGroup="0" ma:internalName="Approv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C" ma:index="10" nillable="true" ma:displayName="CC" ma:hidden="true" ma:list="UserInfo" ma:SearchPeopleOnly="false" ma:SharePointGroup="0" ma:internalName="CC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mtInputWF" ma:index="11" nillable="true" ma:displayName="CmtInputWF" ma:hidden="true" ma:internalName="CmtInputWF" ma:readOnly="false">
      <xsd:simpleType>
        <xsd:restriction base="dms:Note"/>
      </xsd:simpleType>
    </xsd:element>
    <xsd:element name="EMail_x0020_Message" ma:index="12" nillable="true" ma:displayName="EMail Message" ma:hidden="true" ma:internalName="EMail_x0020_Message" ma:readOnly="false">
      <xsd:simpleType>
        <xsd:restriction base="dms:Note"/>
      </xsd:simpleType>
    </xsd:element>
    <xsd:element name="FileShareTo" ma:index="13" nillable="true" ma:displayName="FileShareTo" ma:hidden="true" ma:list="UserInfo" ma:SearchPeopleOnly="false" ma:SharePointGroup="0" ma:internalName="FileShareTo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et_x0020_Approver_x0020_Comments" ma:index="14" nillable="true" ma:displayName="Get Approver Comments" ma:hidden="true" ma:internalName="Get_x0020_Approver_x0020_Comments" ma:readOnly="false">
      <xsd:simpleType>
        <xsd:restriction base="dms:Note"/>
      </xsd:simpleType>
    </xsd:element>
    <xsd:element name="Get_x0020_Input_x0020_Status" ma:index="15" nillable="true" ma:displayName="Get Input Status" ma:format="Dropdown" ma:hidden="true" ma:internalName="Get_x0020_Input_x0020_Status" ma:readOnly="false">
      <xsd:simpleType>
        <xsd:restriction base="dms:Choice">
          <xsd:enumeration value="In progress"/>
          <xsd:enumeration value="Completed"/>
          <xsd:enumeration value="Rejected"/>
          <xsd:enumeration value="Request for change"/>
          <xsd:enumeration value="Approved"/>
          <xsd:enumeration value="Resubmitted"/>
        </xsd:restriction>
      </xsd:simpleType>
    </xsd:element>
    <xsd:element name="Input_x0020_Due_x0020_Date" ma:index="16" nillable="true" ma:displayName="Input Due Date" ma:format="DateTime" ma:hidden="true" ma:internalName="Input_x0020_Due_x0020_Date" ma:readOnly="false">
      <xsd:simpleType>
        <xsd:restriction base="dms:DateTime"/>
      </xsd:simpleType>
    </xsd:element>
    <xsd:element name="Requester" ma:index="17" nillable="true" ma:displayName="Requester" ma:hidden="true" ma:list="UserInfo" ma:SharePointGroup="0" ma:internalName="Request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c6f6d-5f98-4914-887f-119f566e615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9D533-2645-4921-B013-370AF00CF63E}">
  <ds:schemaRefs>
    <ds:schemaRef ds:uri="http://schemas.microsoft.com/office/2006/metadata/properties"/>
    <ds:schemaRef ds:uri="http://purl.org/dc/elements/1.1/"/>
    <ds:schemaRef ds:uri="http://www.w3.org/XML/1998/namespace"/>
    <ds:schemaRef ds:uri="8ec658c6-dba7-4aba-9565-cada3580c151"/>
    <ds:schemaRef ds:uri="http://schemas.microsoft.com/office/2006/documentManagement/types"/>
    <ds:schemaRef ds:uri="749c6f6d-5f98-4914-887f-119f566e6158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fde67ac-ffe5-4439-8f85-bd14152e7e8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0BACA64-7C3B-47F7-BA84-42400FFE6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e67ac-ffe5-4439-8f85-bd14152e7e86"/>
    <ds:schemaRef ds:uri="8ec658c6-dba7-4aba-9565-cada3580c151"/>
    <ds:schemaRef ds:uri="749c6f6d-5f98-4914-887f-119f566e6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353070-9E14-4EB7-8B15-18A77458A5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20250113</vt:lpstr>
      <vt:lpstr>'20250113'!Print_Area</vt:lpstr>
    </vt:vector>
  </TitlesOfParts>
  <Company>ENERGY MARKET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Power System Operation Division</dc:creator>
  <cp:lastModifiedBy>Matheaus HX LEONG (EMA)</cp:lastModifiedBy>
  <cp:lastPrinted>2024-12-10T11:26:50Z</cp:lastPrinted>
  <dcterms:created xsi:type="dcterms:W3CDTF">2002-07-16T06:28:40Z</dcterms:created>
  <dcterms:modified xsi:type="dcterms:W3CDTF">2025-01-27T09:30:40Z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db910-0838-4c35-bb3a-1ee21aa199ac_Enabled">
    <vt:lpwstr>true</vt:lpwstr>
  </property>
  <property fmtid="{D5CDD505-2E9C-101B-9397-08002B2CF9AE}" pid="3" name="MSIP_Label_153db910-0838-4c35-bb3a-1ee21aa199ac_SetDate">
    <vt:lpwstr>2025-01-20T07:25:50Z</vt:lpwstr>
  </property>
  <property fmtid="{D5CDD505-2E9C-101B-9397-08002B2CF9AE}" pid="4" name="MSIP_Label_153db910-0838-4c35-bb3a-1ee21aa199ac_Method">
    <vt:lpwstr>Privileged</vt:lpwstr>
  </property>
  <property fmtid="{D5CDD505-2E9C-101B-9397-08002B2CF9AE}" pid="5" name="MSIP_Label_153db910-0838-4c35-bb3a-1ee21aa199ac_Name">
    <vt:lpwstr>Sensitive Normal</vt:lpwstr>
  </property>
  <property fmtid="{D5CDD505-2E9C-101B-9397-08002B2CF9AE}" pid="6" name="MSIP_Label_153db910-0838-4c35-bb3a-1ee21aa199ac_SiteId">
    <vt:lpwstr>0b11c524-9a1c-4e1b-84cb-6336aefc2243</vt:lpwstr>
  </property>
  <property fmtid="{D5CDD505-2E9C-101B-9397-08002B2CF9AE}" pid="7" name="MSIP_Label_153db910-0838-4c35-bb3a-1ee21aa199ac_ActionId">
    <vt:lpwstr>abb6293c-c884-4718-a079-94c35fafae49</vt:lpwstr>
  </property>
  <property fmtid="{D5CDD505-2E9C-101B-9397-08002B2CF9AE}" pid="8" name="MSIP_Label_153db910-0838-4c35-bb3a-1ee21aa199ac_ContentBits">
    <vt:lpwstr>0</vt:lpwstr>
  </property>
  <property fmtid="{D5CDD505-2E9C-101B-9397-08002B2CF9AE}" pid="9" name="ContentTypeId">
    <vt:lpwstr>0x0101009B27532711F44748864E521553AA686E</vt:lpwstr>
  </property>
</Properties>
</file>