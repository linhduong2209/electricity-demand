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-hxmleong\Desktop\Weekly Demand\"/>
    </mc:Choice>
  </mc:AlternateContent>
  <xr:revisionPtr revIDLastSave="0" documentId="13_ncr:1_{FAE373D0-11EF-4BAC-9066-0527106A4B76}" xr6:coauthVersionLast="47" xr6:coauthVersionMax="47" xr10:uidLastSave="{00000000-0000-0000-0000-000000000000}"/>
  <bookViews>
    <workbookView xWindow="-110" yWindow="-110" windowWidth="19420" windowHeight="10420" tabRatio="237" xr2:uid="{6EE032CD-DD2A-4571-8D4F-FEB91CA76A4E}"/>
  </bookViews>
  <sheets>
    <sheet name="20250113" sheetId="1" r:id="rId1"/>
  </sheets>
  <definedNames>
    <definedName name="_xlnm.Print_Area" localSheetId="0">'20250113'!$A$2:$V$62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 s="1"/>
  <c r="K2" i="1" s="1"/>
  <c r="N2" i="1" s="1"/>
  <c r="Q2" i="1" s="1"/>
  <c r="T2" i="1" s="1"/>
</calcChain>
</file>

<file path=xl/sharedStrings.xml><?xml version="1.0" encoding="utf-8"?>
<sst xmlns="http://schemas.openxmlformats.org/spreadsheetml/2006/main" count="83" uniqueCount="65">
  <si>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</si>
  <si>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</si>
  <si>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</si>
  <si>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</si>
  <si>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</si>
  <si>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</si>
  <si>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</si>
  <si>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</si>
  <si>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</si>
  <si>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</si>
  <si>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</si>
  <si>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</si>
  <si>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</si>
  <si>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</si>
  <si>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</si>
  <si>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</si>
  <si>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</si>
  <si>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</si>
  <si>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</si>
  <si>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</si>
  <si>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</si>
  <si>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</si>
  <si>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</si>
  <si>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</si>
  <si>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</si>
  <si>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</si>
  <si>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</si>
  <si>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</si>
  <si>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</si>
  <si>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</si>
  <si>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</si>
  <si>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</si>
  <si>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</si>
  <si>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</si>
  <si>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</si>
  <si>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</si>
  <si>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</si>
  <si>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</si>
  <si>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</si>
  <si>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</si>
  <si>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</si>
  <si>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</si>
  <si>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</si>
  <si>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</si>
  <si>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</si>
  <si>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</si>
  <si>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</si>
  <si>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Date</t>
  </si>
  <si>
    <t>Mon</t>
  </si>
  <si>
    <t>Tue</t>
  </si>
  <si>
    <t>Wed</t>
  </si>
  <si>
    <t>Thu</t>
  </si>
  <si>
    <t>Fri</t>
  </si>
  <si>
    <t>Sat</t>
  </si>
  <si>
    <t>Sun</t>
  </si>
  <si>
    <t>00:00</t>
  </si>
  <si>
    <t>Period Ending Time</t>
  </si>
  <si>
    <t xml:space="preserve"> System Demand (Actual)</t>
  </si>
  <si>
    <t xml:space="preserve"> NEM Demand (Actual)</t>
  </si>
  <si>
    <t xml:space="preserve"> NEM Demand (Forecast)</t>
  </si>
  <si>
    <t xml:space="preserve">Note: </t>
  </si>
  <si>
    <t>4. All units in MW.</t>
  </si>
  <si>
    <t>1. System Demand (Actual): includes demand of consumers with their own embedded generators.</t>
  </si>
  <si>
    <r>
      <t xml:space="preserve">2. NEM Demand (Actual): Actual Demand met by all </t>
    </r>
    <r>
      <rPr>
        <i/>
        <sz val="10"/>
        <rFont val="Arial"/>
        <family val="2"/>
      </rPr>
      <t>Generation Registered Facilities</t>
    </r>
    <r>
      <rPr>
        <sz val="10"/>
        <rFont val="Arial"/>
        <family val="2"/>
      </rPr>
      <t>.</t>
    </r>
  </si>
  <si>
    <r>
      <t xml:space="preserve">3. NEM Demand (Forecast): Forecast demand for scheduling of </t>
    </r>
    <r>
      <rPr>
        <i/>
        <sz val="10"/>
        <rFont val="Arial"/>
        <family val="2"/>
      </rPr>
      <t>Generation Registered Facilities</t>
    </r>
    <r>
      <rPr>
        <sz val="10"/>
        <rFont val="Arial"/>
        <family val="2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</si>
</sst>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4" applyNumberFormat="0" applyAlignment="0" applyProtection="0"/>
    <xf numFmtId="0" fontId="8" fillId="28" borderId="15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30" borderId="14" applyNumberFormat="0" applyAlignment="0" applyProtection="0"/>
    <xf numFmtId="0" fontId="16" fillId="0" borderId="19" applyNumberFormat="0" applyFill="0" applyAlignment="0" applyProtection="0"/>
    <xf numFmtId="0" fontId="17" fillId="31" borderId="0" applyNumberFormat="0" applyBorder="0" applyAlignment="0" applyProtection="0"/>
    <xf numFmtId="0" fontId="4" fillId="0" borderId="0"/>
    <xf numFmtId="0" fontId="2" fillId="0" borderId="0"/>
    <xf numFmtId="0" fontId="4" fillId="32" borderId="20" applyNumberFormat="0" applyFont="0" applyAlignment="0" applyProtection="0"/>
    <xf numFmtId="0" fontId="18" fillId="27" borderId="21" applyNumberFormat="0" applyAlignment="0" applyProtection="0"/>
    <xf numFmtId="0" fontId="19" fillId="0" borderId="0" applyNumberFormat="0" applyFill="0" applyBorder="0" applyAlignment="0" applyProtection="0"/>
    <xf numFmtId="0" fontId="20" fillId="0" borderId="22" applyNumberFormat="0" applyFill="0" applyAlignment="0" applyProtection="0"/>
    <xf numFmtId="0" fontId="21" fillId="0" borderId="0" applyNumberFormat="0" applyFill="0" applyBorder="0" applyAlignment="0" applyProtection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22" fillId="0" borderId="1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right"/>
    </xf>
    <xf numFmtId="1" fontId="2" fillId="0" borderId="1" xfId="38" applyNumberFormat="1" applyFont="1" applyBorder="1" applyAlignment="1">
      <alignment horizontal="right"/>
    </xf>
    <xf numFmtId="1" fontId="22" fillId="0" borderId="1" xfId="38" applyNumberFormat="1" applyFont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827676C9-B6C1-4DC9-ACFC-1E95D4824395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94336FAA-5381-4B94-A768-DDB8092D7CA5}"/>
    <cellStyle name="Normal 3" xfId="39" xr:uid="{8911E045-7A38-4865-BE11-48223EA87FA0}"/>
    <cellStyle name="Note 2" xfId="40" xr:uid="{244DC318-0A5A-41F0-B095-6AAF4E710265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57AB-2962-4C71-A603-81A0D5AD01F6}">
  <sheetPr codeName="Sheet2">
    <pageSetUpPr fitToPage="1"/>
  </sheetPr>
  <dimension ref="A1:V59"/>
  <sheetViews>
    <sheetView tabSelected="1" zoomScaleNormal="100" workbookViewId="0">
      <selection activeCell="B3" sqref="B3:D4"/>
    </sheetView>
  </sheetViews>
  <sheetFormatPr defaultColWidth="9.1796875" defaultRowHeight="12.5" x14ac:dyDescent="0.25"/>
  <cols>
    <col min="1" max="1" width="19.26953125" style="6" bestFit="1" customWidth="1"/>
    <col min="2" max="2" width="16.1796875" style="6" bestFit="1" customWidth="1"/>
    <col min="3" max="3" width="13.26953125" style="6" bestFit="1" customWidth="1"/>
    <col min="4" max="4" width="15.81640625" style="6" bestFit="1" customWidth="1"/>
    <col min="5" max="5" width="16.1796875" style="6" bestFit="1" customWidth="1"/>
    <col min="6" max="6" width="13.26953125" style="6" bestFit="1" customWidth="1"/>
    <col min="7" max="7" width="15.81640625" style="6" bestFit="1" customWidth="1"/>
    <col min="8" max="8" width="16.1796875" style="6" bestFit="1" customWidth="1"/>
    <col min="9" max="9" width="13.26953125" style="6" bestFit="1" customWidth="1"/>
    <col min="10" max="10" width="15.81640625" style="6" bestFit="1" customWidth="1"/>
    <col min="11" max="11" width="16.1796875" style="6" bestFit="1" customWidth="1"/>
    <col min="12" max="12" width="13.26953125" style="6" bestFit="1" customWidth="1"/>
    <col min="13" max="13" width="15.81640625" style="6" bestFit="1" customWidth="1"/>
    <col min="14" max="14" width="16.1796875" style="6" bestFit="1" customWidth="1"/>
    <col min="15" max="15" width="13.26953125" style="6" bestFit="1" customWidth="1"/>
    <col min="16" max="16" width="15.81640625" style="6" bestFit="1" customWidth="1"/>
    <col min="17" max="17" width="16.1796875" style="6" bestFit="1" customWidth="1"/>
    <col min="18" max="18" width="14.1796875" style="6" customWidth="1"/>
    <col min="19" max="19" width="17.08984375" style="6" customWidth="1"/>
    <col min="20" max="20" width="16.1796875" style="6" bestFit="1" customWidth="1"/>
    <col min="21" max="22" width="13.90625" style="6" customWidth="1"/>
    <col min="23" max="29" width="9.1796875" style="7"/>
    <col min="30" max="30" width="9.26953125" style="7" bestFit="1" customWidth="1"/>
    <col min="31" max="16384" width="9.1796875" style="7"/>
  </cols>
  <sheetData>
    <row r="1" spans="1:22" s="6" customFormat="1" ht="13" x14ac:dyDescent="0.3">
      <c r="A1" s="3"/>
      <c r="B1" s="3"/>
      <c r="D1" s="2"/>
      <c r="E1" s="2"/>
    </row>
    <row r="2" spans="1:22" s="2" customFormat="1" ht="13" x14ac:dyDescent="0.3">
      <c r="A2" s="1" t="s">
        <v>47</v>
      </c>
      <c r="B2" s="18">
        <v>45670</v>
      </c>
      <c r="C2" s="19"/>
      <c r="D2" s="20"/>
      <c r="E2" s="18">
        <f xml:space="preserve"> B2+1</f>
        <v>45671</v>
      </c>
      <c r="F2" s="19"/>
      <c r="G2" s="20"/>
      <c r="H2" s="18">
        <f xml:space="preserve"> E2+1</f>
        <v>45672</v>
      </c>
      <c r="I2" s="19"/>
      <c r="J2" s="20"/>
      <c r="K2" s="18">
        <f>H2+1</f>
        <v>45673</v>
      </c>
      <c r="L2" s="19"/>
      <c r="M2" s="20"/>
      <c r="N2" s="18">
        <f>K2+1</f>
        <v>45674</v>
      </c>
      <c r="O2" s="19"/>
      <c r="P2" s="20"/>
      <c r="Q2" s="18">
        <f>N2+1</f>
        <v>45675</v>
      </c>
      <c r="R2" s="19"/>
      <c r="S2" s="20"/>
      <c r="T2" s="18">
        <f>Q2+1</f>
        <v>45676</v>
      </c>
      <c r="U2" s="19"/>
      <c r="V2" s="20"/>
    </row>
    <row r="3" spans="1:22" s="2" customFormat="1" ht="13" x14ac:dyDescent="0.3">
      <c r="A3" s="15" t="s">
        <v>56</v>
      </c>
      <c r="B3" s="21" t="s">
        <v>48</v>
      </c>
      <c r="C3" s="22"/>
      <c r="D3" s="23"/>
      <c r="E3" s="21" t="s">
        <v>49</v>
      </c>
      <c r="F3" s="22"/>
      <c r="G3" s="23"/>
      <c r="H3" s="21" t="s">
        <v>50</v>
      </c>
      <c r="I3" s="22"/>
      <c r="J3" s="23"/>
      <c r="K3" s="21" t="s">
        <v>51</v>
      </c>
      <c r="L3" s="22"/>
      <c r="M3" s="23"/>
      <c r="N3" s="21" t="s">
        <v>52</v>
      </c>
      <c r="O3" s="22"/>
      <c r="P3" s="23"/>
      <c r="Q3" s="21" t="s">
        <v>53</v>
      </c>
      <c r="R3" s="22"/>
      <c r="S3" s="23"/>
      <c r="T3" s="21" t="s">
        <v>54</v>
      </c>
      <c r="U3" s="22"/>
      <c r="V3" s="23"/>
    </row>
    <row r="4" spans="1:22" s="2" customFormat="1" ht="13" x14ac:dyDescent="0.3">
      <c r="A4" s="16"/>
      <c r="B4" s="24"/>
      <c r="C4" s="25"/>
      <c r="D4" s="26"/>
      <c r="E4" s="24"/>
      <c r="F4" s="25"/>
      <c r="G4" s="26"/>
      <c r="H4" s="24"/>
      <c r="I4" s="25"/>
      <c r="J4" s="26"/>
      <c r="K4" s="24"/>
      <c r="L4" s="25"/>
      <c r="M4" s="26"/>
      <c r="N4" s="24"/>
      <c r="O4" s="25"/>
      <c r="P4" s="26"/>
      <c r="Q4" s="24"/>
      <c r="R4" s="25"/>
      <c r="S4" s="26"/>
      <c r="T4" s="24"/>
      <c r="U4" s="25"/>
      <c r="V4" s="26"/>
    </row>
    <row r="5" spans="1:22" s="2" customFormat="1" ht="29" customHeight="1" x14ac:dyDescent="0.3">
      <c r="A5" s="17"/>
      <c r="B5" s="13" t="s">
        <v>57</v>
      </c>
      <c r="C5" s="13" t="s">
        <v>58</v>
      </c>
      <c r="D5" s="13" t="s">
        <v>59</v>
      </c>
      <c r="E5" s="13" t="s">
        <v>57</v>
      </c>
      <c r="F5" s="13" t="s">
        <v>58</v>
      </c>
      <c r="G5" s="13" t="s">
        <v>59</v>
      </c>
      <c r="H5" s="13" t="s">
        <v>57</v>
      </c>
      <c r="I5" s="13" t="s">
        <v>58</v>
      </c>
      <c r="J5" s="13" t="s">
        <v>59</v>
      </c>
      <c r="K5" s="13" t="s">
        <v>57</v>
      </c>
      <c r="L5" s="13" t="s">
        <v>58</v>
      </c>
      <c r="M5" s="13" t="s">
        <v>59</v>
      </c>
      <c r="N5" s="13" t="s">
        <v>57</v>
      </c>
      <c r="O5" s="13" t="s">
        <v>58</v>
      </c>
      <c r="P5" s="13" t="s">
        <v>59</v>
      </c>
      <c r="Q5" s="13" t="s">
        <v>57</v>
      </c>
      <c r="R5" s="13" t="s">
        <v>58</v>
      </c>
      <c r="S5" s="13" t="s">
        <v>59</v>
      </c>
      <c r="T5" s="13" t="s">
        <v>57</v>
      </c>
      <c r="U5" s="13" t="s">
        <v>58</v>
      </c>
      <c r="V5" s="13" t="s">
        <v>59</v>
      </c>
    </row>
    <row r="6" spans="1:22" s="6" customFormat="1" x14ac:dyDescent="0.25">
      <c r="A6" s="5" t="s">
        <v>0</v>
      </c>
      <c r="B6" s="10">
        <v>5808.8095999999996</v>
      </c>
      <c r="C6" s="4">
        <v>5673</v>
      </c>
      <c r="D6" s="4">
        <v>6020.3</v>
      </c>
      <c r="E6" s="11">
        <v>5919.1606000000002</v>
      </c>
      <c r="F6" s="12">
        <v>5802</v>
      </c>
      <c r="G6" s="12">
        <v>5794.6</v>
      </c>
      <c r="H6" s="4">
        <v>5921.3017</v>
      </c>
      <c r="I6" s="4">
        <v>5789</v>
      </c>
      <c r="J6" s="4">
        <v>5804.1</v>
      </c>
      <c r="K6" s="4">
        <v>5983.8984</v>
      </c>
      <c r="L6" s="4">
        <v>5851</v>
      </c>
      <c r="M6" s="4">
        <v>5891</v>
      </c>
      <c r="N6" s="4">
        <v>6132.1493</v>
      </c>
      <c r="O6" s="4">
        <v>6000</v>
      </c>
      <c r="P6" s="4">
        <v>5838.5</v>
      </c>
      <c r="Q6" s="11">
        <v>6088.1094999999996</v>
      </c>
      <c r="R6" s="12">
        <v>5959</v>
      </c>
      <c r="S6" s="12">
        <v>6079.2</v>
      </c>
      <c r="T6" s="4">
        <v>6090.2183000000005</v>
      </c>
      <c r="U6" s="4">
        <v>5951</v>
      </c>
      <c r="V6" s="4">
        <v>5916.9</v>
      </c>
    </row>
    <row r="7" spans="1:22" s="6" customFormat="1" x14ac:dyDescent="0.25">
      <c r="A7" s="5" t="s">
        <v>1</v>
      </c>
      <c r="B7" s="10">
        <v>5688.3703999999998</v>
      </c>
      <c r="C7" s="4">
        <v>5553</v>
      </c>
      <c r="D7" s="4">
        <v>5862.5</v>
      </c>
      <c r="E7" s="11">
        <v>5794.5066999999999</v>
      </c>
      <c r="F7" s="12">
        <v>5672</v>
      </c>
      <c r="G7" s="12">
        <v>5657.9</v>
      </c>
      <c r="H7" s="4">
        <v>5802.7325000000001</v>
      </c>
      <c r="I7" s="4">
        <v>5669</v>
      </c>
      <c r="J7" s="4">
        <v>5669.5</v>
      </c>
      <c r="K7" s="4">
        <v>5860.6580000000004</v>
      </c>
      <c r="L7" s="4">
        <v>5732</v>
      </c>
      <c r="M7" s="4">
        <v>5759.6</v>
      </c>
      <c r="N7" s="4">
        <v>6010.6147000000001</v>
      </c>
      <c r="O7" s="4">
        <v>5879</v>
      </c>
      <c r="P7" s="4">
        <v>5710.2</v>
      </c>
      <c r="Q7" s="11">
        <v>5952.3837999999996</v>
      </c>
      <c r="R7" s="12">
        <v>5824</v>
      </c>
      <c r="S7" s="12">
        <v>5982.6</v>
      </c>
      <c r="T7" s="4">
        <v>5957.0547999999999</v>
      </c>
      <c r="U7" s="4">
        <v>5818</v>
      </c>
      <c r="V7" s="4">
        <v>5811.1</v>
      </c>
    </row>
    <row r="8" spans="1:22" s="6" customFormat="1" x14ac:dyDescent="0.25">
      <c r="A8" s="5" t="s">
        <v>2</v>
      </c>
      <c r="B8" s="10">
        <v>5589.5209000000004</v>
      </c>
      <c r="C8" s="4">
        <v>5457</v>
      </c>
      <c r="D8" s="4">
        <v>5605.6</v>
      </c>
      <c r="E8" s="11">
        <v>5698.3281999999999</v>
      </c>
      <c r="F8" s="12">
        <v>5579</v>
      </c>
      <c r="G8" s="12">
        <v>5644</v>
      </c>
      <c r="H8" s="4">
        <v>5721.1439</v>
      </c>
      <c r="I8" s="4">
        <v>5587</v>
      </c>
      <c r="J8" s="4">
        <v>5624.9</v>
      </c>
      <c r="K8" s="4">
        <v>5768.9246000000003</v>
      </c>
      <c r="L8" s="4">
        <v>5638</v>
      </c>
      <c r="M8" s="4">
        <v>5672.1</v>
      </c>
      <c r="N8" s="4">
        <v>5898.6579000000002</v>
      </c>
      <c r="O8" s="4">
        <v>5764</v>
      </c>
      <c r="P8" s="4">
        <v>5740.7</v>
      </c>
      <c r="Q8" s="11">
        <v>5851.3095999999996</v>
      </c>
      <c r="R8" s="12">
        <v>5725</v>
      </c>
      <c r="S8" s="12">
        <v>5796.8</v>
      </c>
      <c r="T8" s="4">
        <v>5869.9283999999998</v>
      </c>
      <c r="U8" s="4">
        <v>5730</v>
      </c>
      <c r="V8" s="4">
        <v>5780.5</v>
      </c>
    </row>
    <row r="9" spans="1:22" s="6" customFormat="1" x14ac:dyDescent="0.25">
      <c r="A9" s="5" t="s">
        <v>3</v>
      </c>
      <c r="B9" s="10">
        <v>5527.7133999999996</v>
      </c>
      <c r="C9" s="4">
        <v>5396</v>
      </c>
      <c r="D9" s="4">
        <v>5518</v>
      </c>
      <c r="E9" s="11">
        <v>5635.5711000000001</v>
      </c>
      <c r="F9" s="12">
        <v>5508</v>
      </c>
      <c r="G9" s="12">
        <v>5563.2</v>
      </c>
      <c r="H9" s="4">
        <v>5639.1302999999998</v>
      </c>
      <c r="I9" s="4">
        <v>5506</v>
      </c>
      <c r="J9" s="4">
        <v>5550.3</v>
      </c>
      <c r="K9" s="4">
        <v>5706.9548999999997</v>
      </c>
      <c r="L9" s="4">
        <v>5583</v>
      </c>
      <c r="M9" s="4">
        <v>5598.6</v>
      </c>
      <c r="N9" s="4">
        <v>5836.9813999999997</v>
      </c>
      <c r="O9" s="4">
        <v>5698</v>
      </c>
      <c r="P9" s="4">
        <v>5673.5</v>
      </c>
      <c r="Q9" s="11">
        <v>5775.8765999999996</v>
      </c>
      <c r="R9" s="12">
        <v>5656</v>
      </c>
      <c r="S9" s="12">
        <v>5691.7</v>
      </c>
      <c r="T9" s="4">
        <v>5770.4670999999998</v>
      </c>
      <c r="U9" s="4">
        <v>5633</v>
      </c>
      <c r="V9" s="4">
        <v>5673.7</v>
      </c>
    </row>
    <row r="10" spans="1:22" s="6" customFormat="1" x14ac:dyDescent="0.25">
      <c r="A10" s="5" t="s">
        <v>4</v>
      </c>
      <c r="B10" s="10">
        <v>5481.7012000000004</v>
      </c>
      <c r="C10" s="4">
        <v>5348</v>
      </c>
      <c r="D10" s="4">
        <v>5455.5</v>
      </c>
      <c r="E10" s="11">
        <v>5585.06</v>
      </c>
      <c r="F10" s="12">
        <v>5458</v>
      </c>
      <c r="G10" s="12">
        <v>5508.3</v>
      </c>
      <c r="H10" s="4">
        <v>5595.8792000000003</v>
      </c>
      <c r="I10" s="4">
        <v>5468</v>
      </c>
      <c r="J10" s="4">
        <v>5503.8</v>
      </c>
      <c r="K10" s="4">
        <v>5647.6585999999998</v>
      </c>
      <c r="L10" s="4">
        <v>5525</v>
      </c>
      <c r="M10" s="4">
        <v>5544.5</v>
      </c>
      <c r="N10" s="4">
        <v>5770.09</v>
      </c>
      <c r="O10" s="4">
        <v>5635</v>
      </c>
      <c r="P10" s="4">
        <v>5609.8</v>
      </c>
      <c r="Q10" s="11">
        <v>5711.16</v>
      </c>
      <c r="R10" s="12">
        <v>5596</v>
      </c>
      <c r="S10" s="12">
        <v>5620.2</v>
      </c>
      <c r="T10" s="4">
        <v>5718.6665999999996</v>
      </c>
      <c r="U10" s="4">
        <v>5580</v>
      </c>
      <c r="V10" s="4">
        <v>5593.3</v>
      </c>
    </row>
    <row r="11" spans="1:22" s="6" customFormat="1" x14ac:dyDescent="0.25">
      <c r="A11" s="5" t="s">
        <v>5</v>
      </c>
      <c r="B11" s="10">
        <v>5425.6283999999996</v>
      </c>
      <c r="C11" s="4">
        <v>5293</v>
      </c>
      <c r="D11" s="4">
        <v>5411</v>
      </c>
      <c r="E11" s="11">
        <v>5530.6230999999998</v>
      </c>
      <c r="F11" s="12">
        <v>5412</v>
      </c>
      <c r="G11" s="12">
        <v>5454.4</v>
      </c>
      <c r="H11" s="4">
        <v>5558.5020999999997</v>
      </c>
      <c r="I11" s="4">
        <v>5430</v>
      </c>
      <c r="J11" s="4">
        <v>5446.9</v>
      </c>
      <c r="K11" s="4">
        <v>5602.1220000000003</v>
      </c>
      <c r="L11" s="4">
        <v>5477</v>
      </c>
      <c r="M11" s="4">
        <v>5505.4</v>
      </c>
      <c r="N11" s="4">
        <v>5715.8076000000001</v>
      </c>
      <c r="O11" s="4">
        <v>5580</v>
      </c>
      <c r="P11" s="4">
        <v>5566</v>
      </c>
      <c r="Q11" s="11">
        <v>5660.5304999999998</v>
      </c>
      <c r="R11" s="12">
        <v>5542</v>
      </c>
      <c r="S11" s="12">
        <v>5573.7</v>
      </c>
      <c r="T11" s="4">
        <v>5652.4107000000004</v>
      </c>
      <c r="U11" s="4">
        <v>5511</v>
      </c>
      <c r="V11" s="4">
        <v>5522.9</v>
      </c>
    </row>
    <row r="12" spans="1:22" s="6" customFormat="1" x14ac:dyDescent="0.25">
      <c r="A12" s="5" t="s">
        <v>6</v>
      </c>
      <c r="B12" s="10">
        <v>5410.2042000000001</v>
      </c>
      <c r="C12" s="4">
        <v>5278</v>
      </c>
      <c r="D12" s="4">
        <v>5377.6</v>
      </c>
      <c r="E12" s="11">
        <v>5504.1544999999996</v>
      </c>
      <c r="F12" s="12">
        <v>5383</v>
      </c>
      <c r="G12" s="12">
        <v>5427.2</v>
      </c>
      <c r="H12" s="4">
        <v>5514.1368000000002</v>
      </c>
      <c r="I12" s="4">
        <v>5385</v>
      </c>
      <c r="J12" s="4">
        <v>5425.3</v>
      </c>
      <c r="K12" s="4">
        <v>5563.3544000000002</v>
      </c>
      <c r="L12" s="4">
        <v>5434</v>
      </c>
      <c r="M12" s="4">
        <v>5470.8</v>
      </c>
      <c r="N12" s="4">
        <v>5686.2921999999999</v>
      </c>
      <c r="O12" s="4">
        <v>5550</v>
      </c>
      <c r="P12" s="4">
        <v>5524.4</v>
      </c>
      <c r="Q12" s="11">
        <v>5632.4897000000001</v>
      </c>
      <c r="R12" s="12">
        <v>5511</v>
      </c>
      <c r="S12" s="12">
        <v>5532.4</v>
      </c>
      <c r="T12" s="4">
        <v>5594.0177000000003</v>
      </c>
      <c r="U12" s="4">
        <v>5454</v>
      </c>
      <c r="V12" s="4">
        <v>5482.1</v>
      </c>
    </row>
    <row r="13" spans="1:22" s="6" customFormat="1" x14ac:dyDescent="0.25">
      <c r="A13" s="5" t="s">
        <v>7</v>
      </c>
      <c r="B13" s="10">
        <v>5387.7779</v>
      </c>
      <c r="C13" s="4">
        <v>5257</v>
      </c>
      <c r="D13" s="4">
        <v>5342.1</v>
      </c>
      <c r="E13" s="11">
        <v>5486.3906999999999</v>
      </c>
      <c r="F13" s="12">
        <v>5367</v>
      </c>
      <c r="G13" s="12">
        <v>5407.1</v>
      </c>
      <c r="H13" s="4">
        <v>5497.9628000000002</v>
      </c>
      <c r="I13" s="4">
        <v>5372</v>
      </c>
      <c r="J13" s="4">
        <v>5408.9</v>
      </c>
      <c r="K13" s="4">
        <v>5545.2282999999998</v>
      </c>
      <c r="L13" s="4">
        <v>5411</v>
      </c>
      <c r="M13" s="4">
        <v>5447.1</v>
      </c>
      <c r="N13" s="4">
        <v>5654.8680999999997</v>
      </c>
      <c r="O13" s="4">
        <v>5519</v>
      </c>
      <c r="P13" s="4">
        <v>5500.3</v>
      </c>
      <c r="Q13" s="11">
        <v>5616.4366</v>
      </c>
      <c r="R13" s="12">
        <v>5494</v>
      </c>
      <c r="S13" s="12">
        <v>5500.6</v>
      </c>
      <c r="T13" s="4">
        <v>5573.3163000000004</v>
      </c>
      <c r="U13" s="4">
        <v>5434</v>
      </c>
      <c r="V13" s="4">
        <v>5441.8</v>
      </c>
    </row>
    <row r="14" spans="1:22" s="6" customFormat="1" x14ac:dyDescent="0.25">
      <c r="A14" s="5" t="s">
        <v>8</v>
      </c>
      <c r="B14" s="10">
        <v>5402.5582999999997</v>
      </c>
      <c r="C14" s="4">
        <v>5268</v>
      </c>
      <c r="D14" s="4">
        <v>5355.2</v>
      </c>
      <c r="E14" s="11">
        <v>5496.7763999999997</v>
      </c>
      <c r="F14" s="12">
        <v>5374</v>
      </c>
      <c r="G14" s="12">
        <v>5413.4</v>
      </c>
      <c r="H14" s="4">
        <v>5502.0685000000003</v>
      </c>
      <c r="I14" s="4">
        <v>5381</v>
      </c>
      <c r="J14" s="4">
        <v>5404.1</v>
      </c>
      <c r="K14" s="4">
        <v>5542.4498999999996</v>
      </c>
      <c r="L14" s="4">
        <v>5408</v>
      </c>
      <c r="M14" s="4">
        <v>5444</v>
      </c>
      <c r="N14" s="4">
        <v>5661.7629999999999</v>
      </c>
      <c r="O14" s="4">
        <v>5525</v>
      </c>
      <c r="P14" s="4">
        <v>5509.9</v>
      </c>
      <c r="Q14" s="11">
        <v>5609.5329000000002</v>
      </c>
      <c r="R14" s="12">
        <v>5485</v>
      </c>
      <c r="S14" s="12">
        <v>5487.5</v>
      </c>
      <c r="T14" s="4">
        <v>5565.3401999999996</v>
      </c>
      <c r="U14" s="4">
        <v>5428</v>
      </c>
      <c r="V14" s="4">
        <v>5420.5</v>
      </c>
    </row>
    <row r="15" spans="1:22" s="6" customFormat="1" x14ac:dyDescent="0.25">
      <c r="A15" s="5" t="s">
        <v>9</v>
      </c>
      <c r="B15" s="10">
        <v>5419.4489999999996</v>
      </c>
      <c r="C15" s="4">
        <v>5286</v>
      </c>
      <c r="D15" s="4">
        <v>5373.2</v>
      </c>
      <c r="E15" s="11">
        <v>5522.1625999999997</v>
      </c>
      <c r="F15" s="12">
        <v>5397</v>
      </c>
      <c r="G15" s="12">
        <v>5432.3</v>
      </c>
      <c r="H15" s="4">
        <v>5527.8658999999998</v>
      </c>
      <c r="I15" s="4">
        <v>5409</v>
      </c>
      <c r="J15" s="4">
        <v>5429.2</v>
      </c>
      <c r="K15" s="4">
        <v>5569.5748000000003</v>
      </c>
      <c r="L15" s="4">
        <v>5436</v>
      </c>
      <c r="M15" s="4">
        <v>5461.8</v>
      </c>
      <c r="N15" s="4">
        <v>5656.7260999999999</v>
      </c>
      <c r="O15" s="4">
        <v>5525</v>
      </c>
      <c r="P15" s="4">
        <v>5525.8</v>
      </c>
      <c r="Q15" s="11">
        <v>5607.9488000000001</v>
      </c>
      <c r="R15" s="12">
        <v>5484</v>
      </c>
      <c r="S15" s="12">
        <v>5498.7</v>
      </c>
      <c r="T15" s="4">
        <v>5563.0592999999999</v>
      </c>
      <c r="U15" s="4">
        <v>5424</v>
      </c>
      <c r="V15" s="4">
        <v>5420.8</v>
      </c>
    </row>
    <row r="16" spans="1:22" s="6" customFormat="1" x14ac:dyDescent="0.25">
      <c r="A16" s="5" t="s">
        <v>10</v>
      </c>
      <c r="B16" s="10">
        <v>5517.0766000000003</v>
      </c>
      <c r="C16" s="4">
        <v>5378</v>
      </c>
      <c r="D16" s="4">
        <v>5447</v>
      </c>
      <c r="E16" s="11">
        <v>5617.6853000000001</v>
      </c>
      <c r="F16" s="12">
        <v>5493</v>
      </c>
      <c r="G16" s="12">
        <v>5513.1</v>
      </c>
      <c r="H16" s="4">
        <v>5617.2114000000001</v>
      </c>
      <c r="I16" s="4">
        <v>5497</v>
      </c>
      <c r="J16" s="4">
        <v>5513.2</v>
      </c>
      <c r="K16" s="4">
        <v>5658.8807999999999</v>
      </c>
      <c r="L16" s="4">
        <v>5525</v>
      </c>
      <c r="M16" s="4">
        <v>5537.3</v>
      </c>
      <c r="N16" s="4">
        <v>5725.6839</v>
      </c>
      <c r="O16" s="4">
        <v>5592</v>
      </c>
      <c r="P16" s="4">
        <v>5616.5</v>
      </c>
      <c r="Q16" s="11">
        <v>5653.0776999999998</v>
      </c>
      <c r="R16" s="12">
        <v>5525</v>
      </c>
      <c r="S16" s="12">
        <v>5537.6</v>
      </c>
      <c r="T16" s="4">
        <v>5587.7489999999998</v>
      </c>
      <c r="U16" s="4">
        <v>5448</v>
      </c>
      <c r="V16" s="4">
        <v>5452.3</v>
      </c>
    </row>
    <row r="17" spans="1:22" s="6" customFormat="1" x14ac:dyDescent="0.25">
      <c r="A17" s="5" t="s">
        <v>11</v>
      </c>
      <c r="B17" s="10">
        <v>5676.9768000000004</v>
      </c>
      <c r="C17" s="4">
        <v>5540</v>
      </c>
      <c r="D17" s="4">
        <v>5565</v>
      </c>
      <c r="E17" s="11">
        <v>5786.7896000000001</v>
      </c>
      <c r="F17" s="12">
        <v>5660</v>
      </c>
      <c r="G17" s="12">
        <v>5648.4</v>
      </c>
      <c r="H17" s="4">
        <v>5764.6148000000003</v>
      </c>
      <c r="I17" s="4">
        <v>5642</v>
      </c>
      <c r="J17" s="4">
        <v>5658.6</v>
      </c>
      <c r="K17" s="4">
        <v>5805.5312999999996</v>
      </c>
      <c r="L17" s="4">
        <v>5671</v>
      </c>
      <c r="M17" s="4">
        <v>5682.1</v>
      </c>
      <c r="N17" s="4">
        <v>5866.4486999999999</v>
      </c>
      <c r="O17" s="4">
        <v>5732</v>
      </c>
      <c r="P17" s="4">
        <v>5750.9</v>
      </c>
      <c r="Q17" s="11">
        <v>5705.3984</v>
      </c>
      <c r="R17" s="12">
        <v>5579</v>
      </c>
      <c r="S17" s="12">
        <v>5583.1</v>
      </c>
      <c r="T17" s="4">
        <v>5636.4674000000005</v>
      </c>
      <c r="U17" s="4">
        <v>5498</v>
      </c>
      <c r="V17" s="4">
        <v>5496.2</v>
      </c>
    </row>
    <row r="18" spans="1:22" s="6" customFormat="1" x14ac:dyDescent="0.25">
      <c r="A18" s="5" t="s">
        <v>12</v>
      </c>
      <c r="B18" s="10">
        <v>5957.7837</v>
      </c>
      <c r="C18" s="4">
        <v>5827</v>
      </c>
      <c r="D18" s="4">
        <v>5792.4</v>
      </c>
      <c r="E18" s="11">
        <v>6034.9467999999997</v>
      </c>
      <c r="F18" s="12">
        <v>5907</v>
      </c>
      <c r="G18" s="12">
        <v>5892.8</v>
      </c>
      <c r="H18" s="4">
        <v>6028.7804999999998</v>
      </c>
      <c r="I18" s="4">
        <v>5907</v>
      </c>
      <c r="J18" s="4">
        <v>5899.9</v>
      </c>
      <c r="K18" s="4">
        <v>6058.4220999999998</v>
      </c>
      <c r="L18" s="4">
        <v>5922</v>
      </c>
      <c r="M18" s="4">
        <v>5924.9</v>
      </c>
      <c r="N18" s="4">
        <v>6114.84</v>
      </c>
      <c r="O18" s="4">
        <v>5979</v>
      </c>
      <c r="P18" s="4">
        <v>5990.8</v>
      </c>
      <c r="Q18" s="11">
        <v>5829.7578999999996</v>
      </c>
      <c r="R18" s="12">
        <v>5710</v>
      </c>
      <c r="S18" s="12">
        <v>5684.8</v>
      </c>
      <c r="T18" s="4">
        <v>5740.3338000000003</v>
      </c>
      <c r="U18" s="4">
        <v>5603</v>
      </c>
      <c r="V18" s="4">
        <v>5580.8</v>
      </c>
    </row>
    <row r="19" spans="1:22" s="6" customFormat="1" x14ac:dyDescent="0.25">
      <c r="A19" s="5" t="s">
        <v>13</v>
      </c>
      <c r="B19" s="10">
        <v>6126.3490000000002</v>
      </c>
      <c r="C19" s="4">
        <v>5995</v>
      </c>
      <c r="D19" s="4">
        <v>5973.6</v>
      </c>
      <c r="E19" s="11">
        <v>6224.1626999999999</v>
      </c>
      <c r="F19" s="12">
        <v>6102</v>
      </c>
      <c r="G19" s="12">
        <v>6078</v>
      </c>
      <c r="H19" s="4">
        <v>6206.1043</v>
      </c>
      <c r="I19" s="4">
        <v>6087</v>
      </c>
      <c r="J19" s="4">
        <v>6069.2</v>
      </c>
      <c r="K19" s="4">
        <v>6247.4025000000001</v>
      </c>
      <c r="L19" s="4">
        <v>6113</v>
      </c>
      <c r="M19" s="4">
        <v>6094.8</v>
      </c>
      <c r="N19" s="4">
        <v>6288.2040999999999</v>
      </c>
      <c r="O19" s="4">
        <v>6156</v>
      </c>
      <c r="P19" s="4">
        <v>6159.6</v>
      </c>
      <c r="Q19" s="11">
        <v>5904.7906000000003</v>
      </c>
      <c r="R19" s="12">
        <v>5774</v>
      </c>
      <c r="S19" s="12">
        <v>5761</v>
      </c>
      <c r="T19" s="4">
        <v>5815.3050000000003</v>
      </c>
      <c r="U19" s="4">
        <v>5673</v>
      </c>
      <c r="V19" s="4">
        <v>5644.3</v>
      </c>
    </row>
    <row r="20" spans="1:22" s="6" customFormat="1" x14ac:dyDescent="0.25">
      <c r="A20" s="5" t="s">
        <v>14</v>
      </c>
      <c r="B20" s="10">
        <v>6373.5095000000001</v>
      </c>
      <c r="C20" s="4">
        <v>6245</v>
      </c>
      <c r="D20" s="4">
        <v>6242.9</v>
      </c>
      <c r="E20" s="11">
        <v>6470.0553</v>
      </c>
      <c r="F20" s="12">
        <v>6340</v>
      </c>
      <c r="G20" s="12">
        <v>6305.9</v>
      </c>
      <c r="H20" s="4">
        <v>6437.9584999999997</v>
      </c>
      <c r="I20" s="4">
        <v>6313</v>
      </c>
      <c r="J20" s="4">
        <v>6318.3</v>
      </c>
      <c r="K20" s="4">
        <v>6471.0420999999997</v>
      </c>
      <c r="L20" s="4">
        <v>6337</v>
      </c>
      <c r="M20" s="4">
        <v>6333.4</v>
      </c>
      <c r="N20" s="4">
        <v>6493.1540000000005</v>
      </c>
      <c r="O20" s="4">
        <v>6358</v>
      </c>
      <c r="P20" s="4">
        <v>6390</v>
      </c>
      <c r="Q20" s="11">
        <v>6075.0686999999998</v>
      </c>
      <c r="R20" s="12">
        <v>5947</v>
      </c>
      <c r="S20" s="12">
        <v>5901.3</v>
      </c>
      <c r="T20" s="4">
        <v>5951.6940999999997</v>
      </c>
      <c r="U20" s="4">
        <v>5809</v>
      </c>
      <c r="V20" s="4">
        <v>5739.5</v>
      </c>
    </row>
    <row r="21" spans="1:22" s="6" customFormat="1" x14ac:dyDescent="0.25">
      <c r="A21" s="5" t="s">
        <v>15</v>
      </c>
      <c r="B21" s="10">
        <v>6561.5163000000002</v>
      </c>
      <c r="C21" s="4">
        <v>6431</v>
      </c>
      <c r="D21" s="4">
        <v>6425</v>
      </c>
      <c r="E21" s="11">
        <v>6610.0173999999997</v>
      </c>
      <c r="F21" s="12">
        <v>6479</v>
      </c>
      <c r="G21" s="12">
        <v>6505.6</v>
      </c>
      <c r="H21" s="4">
        <v>6592.1292999999996</v>
      </c>
      <c r="I21" s="4">
        <v>6466</v>
      </c>
      <c r="J21" s="4">
        <v>6497.1</v>
      </c>
      <c r="K21" s="4">
        <v>6619.6725999999999</v>
      </c>
      <c r="L21" s="4">
        <v>6498</v>
      </c>
      <c r="M21" s="4">
        <v>6520.1</v>
      </c>
      <c r="N21" s="4">
        <v>6631.4993999999997</v>
      </c>
      <c r="O21" s="4">
        <v>6498</v>
      </c>
      <c r="P21" s="4">
        <v>6557.8</v>
      </c>
      <c r="Q21" s="11">
        <v>6151.2645000000002</v>
      </c>
      <c r="R21" s="12">
        <v>6026</v>
      </c>
      <c r="S21" s="12">
        <v>5974.5</v>
      </c>
      <c r="T21" s="4">
        <v>5992.7613000000001</v>
      </c>
      <c r="U21" s="4">
        <v>5855</v>
      </c>
      <c r="V21" s="4">
        <v>5766.2</v>
      </c>
    </row>
    <row r="22" spans="1:22" s="6" customFormat="1" x14ac:dyDescent="0.25">
      <c r="A22" s="5" t="s">
        <v>16</v>
      </c>
      <c r="B22" s="10">
        <v>6792.3427000000001</v>
      </c>
      <c r="C22" s="4">
        <v>6667</v>
      </c>
      <c r="D22" s="4">
        <v>6695.1</v>
      </c>
      <c r="E22" s="11">
        <v>6803.7415000000001</v>
      </c>
      <c r="F22" s="12">
        <v>6670</v>
      </c>
      <c r="G22" s="12">
        <v>6765.8</v>
      </c>
      <c r="H22" s="4">
        <v>6791.7184999999999</v>
      </c>
      <c r="I22" s="4">
        <v>6664</v>
      </c>
      <c r="J22" s="4">
        <v>6728.9</v>
      </c>
      <c r="K22" s="4">
        <v>6842.6297000000004</v>
      </c>
      <c r="L22" s="4">
        <v>6722</v>
      </c>
      <c r="M22" s="4">
        <v>6749.6</v>
      </c>
      <c r="N22" s="4">
        <v>6862.9611999999997</v>
      </c>
      <c r="O22" s="4">
        <v>6733</v>
      </c>
      <c r="P22" s="4">
        <v>6755.3</v>
      </c>
      <c r="Q22" s="11">
        <v>6364.7839999999997</v>
      </c>
      <c r="R22" s="12">
        <v>6236</v>
      </c>
      <c r="S22" s="12">
        <v>6207.5</v>
      </c>
      <c r="T22" s="4">
        <v>6115.8906999999999</v>
      </c>
      <c r="U22" s="4">
        <v>5979</v>
      </c>
      <c r="V22" s="4">
        <v>5936</v>
      </c>
    </row>
    <row r="23" spans="1:22" s="6" customFormat="1" x14ac:dyDescent="0.25">
      <c r="A23" s="5" t="s">
        <v>17</v>
      </c>
      <c r="B23" s="10">
        <v>6928.1133</v>
      </c>
      <c r="C23" s="4">
        <v>6794</v>
      </c>
      <c r="D23" s="4">
        <v>6830.2</v>
      </c>
      <c r="E23" s="11">
        <v>6910.0565999999999</v>
      </c>
      <c r="F23" s="12">
        <v>6779</v>
      </c>
      <c r="G23" s="12">
        <v>6867.3</v>
      </c>
      <c r="H23" s="4">
        <v>6934.7019</v>
      </c>
      <c r="I23" s="4">
        <v>6807</v>
      </c>
      <c r="J23" s="4">
        <v>6874.7</v>
      </c>
      <c r="K23" s="4">
        <v>6973.3513999999996</v>
      </c>
      <c r="L23" s="4">
        <v>6844</v>
      </c>
      <c r="M23" s="4">
        <v>6900.7</v>
      </c>
      <c r="N23" s="4">
        <v>7001.1941999999999</v>
      </c>
      <c r="O23" s="4">
        <v>6869</v>
      </c>
      <c r="P23" s="4">
        <v>6859.5</v>
      </c>
      <c r="Q23" s="11">
        <v>6479.5910000000003</v>
      </c>
      <c r="R23" s="12">
        <v>6351</v>
      </c>
      <c r="S23" s="12">
        <v>6335.7</v>
      </c>
      <c r="T23" s="4">
        <v>6194.5977999999996</v>
      </c>
      <c r="U23" s="4">
        <v>6062</v>
      </c>
      <c r="V23" s="4">
        <v>6039.4</v>
      </c>
    </row>
    <row r="24" spans="1:22" s="6" customFormat="1" x14ac:dyDescent="0.25">
      <c r="A24" s="5" t="s">
        <v>18</v>
      </c>
      <c r="B24" s="10">
        <v>7041.2614000000003</v>
      </c>
      <c r="C24" s="4">
        <v>6907</v>
      </c>
      <c r="D24" s="4">
        <v>6913.5</v>
      </c>
      <c r="E24" s="11">
        <v>7028.9345000000003</v>
      </c>
      <c r="F24" s="12">
        <v>6896</v>
      </c>
      <c r="G24" s="12">
        <v>6931.6</v>
      </c>
      <c r="H24" s="4">
        <v>7002.8046000000004</v>
      </c>
      <c r="I24" s="4">
        <v>6877</v>
      </c>
      <c r="J24" s="4">
        <v>6912.6</v>
      </c>
      <c r="K24" s="4">
        <v>7028.1647999999996</v>
      </c>
      <c r="L24" s="4">
        <v>6904</v>
      </c>
      <c r="M24" s="4">
        <v>6956.5</v>
      </c>
      <c r="N24" s="4">
        <v>7132.3453</v>
      </c>
      <c r="O24" s="4">
        <v>6998</v>
      </c>
      <c r="P24" s="4">
        <v>6949.8</v>
      </c>
      <c r="Q24" s="11">
        <v>6610.8820999999998</v>
      </c>
      <c r="R24" s="12">
        <v>6477</v>
      </c>
      <c r="S24" s="12">
        <v>6470.1</v>
      </c>
      <c r="T24" s="4">
        <v>6288.7471999999998</v>
      </c>
      <c r="U24" s="4">
        <v>6158</v>
      </c>
      <c r="V24" s="4">
        <v>6116.3</v>
      </c>
    </row>
    <row r="25" spans="1:22" s="6" customFormat="1" x14ac:dyDescent="0.25">
      <c r="A25" s="5" t="s">
        <v>19</v>
      </c>
      <c r="B25" s="10">
        <v>7105.8854000000001</v>
      </c>
      <c r="C25" s="4">
        <v>6974</v>
      </c>
      <c r="D25" s="4">
        <v>6989.3</v>
      </c>
      <c r="E25" s="11">
        <v>7050.3167000000003</v>
      </c>
      <c r="F25" s="12">
        <v>6919</v>
      </c>
      <c r="G25" s="12">
        <v>6990.8</v>
      </c>
      <c r="H25" s="4">
        <v>7065.9602999999997</v>
      </c>
      <c r="I25" s="4">
        <v>6940</v>
      </c>
      <c r="J25" s="4">
        <v>6961.5</v>
      </c>
      <c r="K25" s="4">
        <v>7100.0075999999999</v>
      </c>
      <c r="L25" s="4">
        <v>6978</v>
      </c>
      <c r="M25" s="4">
        <v>6991.2</v>
      </c>
      <c r="N25" s="4">
        <v>7217.6440000000002</v>
      </c>
      <c r="O25" s="4">
        <v>7090</v>
      </c>
      <c r="P25" s="4">
        <v>7018.5</v>
      </c>
      <c r="Q25" s="11">
        <v>6682.0343999999996</v>
      </c>
      <c r="R25" s="12">
        <v>6548</v>
      </c>
      <c r="S25" s="12">
        <v>6549.1</v>
      </c>
      <c r="T25" s="4">
        <v>6354.5925999999999</v>
      </c>
      <c r="U25" s="4">
        <v>6226</v>
      </c>
      <c r="V25" s="4">
        <v>6203.1</v>
      </c>
    </row>
    <row r="26" spans="1:22" s="6" customFormat="1" x14ac:dyDescent="0.25">
      <c r="A26" s="5" t="s">
        <v>20</v>
      </c>
      <c r="B26" s="10">
        <v>7167.8846999999996</v>
      </c>
      <c r="C26" s="4">
        <v>7033</v>
      </c>
      <c r="D26" s="4">
        <v>7083.7</v>
      </c>
      <c r="E26" s="11">
        <v>7175.5649000000003</v>
      </c>
      <c r="F26" s="12">
        <v>7051</v>
      </c>
      <c r="G26" s="12">
        <v>7071.4</v>
      </c>
      <c r="H26" s="4">
        <v>7128.5492999999997</v>
      </c>
      <c r="I26" s="4">
        <v>7000</v>
      </c>
      <c r="J26" s="4">
        <v>7051.1</v>
      </c>
      <c r="K26" s="4">
        <v>7183.3314</v>
      </c>
      <c r="L26" s="4">
        <v>7062</v>
      </c>
      <c r="M26" s="4">
        <v>7072.6</v>
      </c>
      <c r="N26" s="4">
        <v>7281.3257000000003</v>
      </c>
      <c r="O26" s="4">
        <v>7147</v>
      </c>
      <c r="P26" s="4">
        <v>7133.7</v>
      </c>
      <c r="Q26" s="11">
        <v>6798.8581000000004</v>
      </c>
      <c r="R26" s="12">
        <v>6667</v>
      </c>
      <c r="S26" s="12">
        <v>6638.3</v>
      </c>
      <c r="T26" s="4">
        <v>6424.6486000000004</v>
      </c>
      <c r="U26" s="4">
        <v>6294</v>
      </c>
      <c r="V26" s="4">
        <v>6259.1</v>
      </c>
    </row>
    <row r="27" spans="1:22" s="6" customFormat="1" x14ac:dyDescent="0.25">
      <c r="A27" s="5" t="s">
        <v>21</v>
      </c>
      <c r="B27" s="10">
        <v>7140.6734999999999</v>
      </c>
      <c r="C27" s="4">
        <v>7007</v>
      </c>
      <c r="D27" s="4">
        <v>7111.4</v>
      </c>
      <c r="E27" s="11">
        <v>7212.5259999999998</v>
      </c>
      <c r="F27" s="12">
        <v>7085</v>
      </c>
      <c r="G27" s="12">
        <v>7051.9</v>
      </c>
      <c r="H27" s="4">
        <v>7126.1265999999996</v>
      </c>
      <c r="I27" s="4">
        <v>6996</v>
      </c>
      <c r="J27" s="4">
        <v>7072.8</v>
      </c>
      <c r="K27" s="4">
        <v>7182.8649999999998</v>
      </c>
      <c r="L27" s="4">
        <v>7060</v>
      </c>
      <c r="M27" s="4">
        <v>7102.1</v>
      </c>
      <c r="N27" s="4">
        <v>7283.1436999999996</v>
      </c>
      <c r="O27" s="4">
        <v>7148</v>
      </c>
      <c r="P27" s="4">
        <v>7154.5</v>
      </c>
      <c r="Q27" s="11">
        <v>6864.6158999999998</v>
      </c>
      <c r="R27" s="12">
        <v>6736</v>
      </c>
      <c r="S27" s="12">
        <v>6674.2</v>
      </c>
      <c r="T27" s="4">
        <v>6484.5155999999997</v>
      </c>
      <c r="U27" s="4">
        <v>6356</v>
      </c>
      <c r="V27" s="4">
        <v>6295.3</v>
      </c>
    </row>
    <row r="28" spans="1:22" s="6" customFormat="1" x14ac:dyDescent="0.25">
      <c r="A28" s="5" t="s">
        <v>22</v>
      </c>
      <c r="B28" s="10">
        <v>7100.9402</v>
      </c>
      <c r="C28" s="4">
        <v>6964</v>
      </c>
      <c r="D28" s="4">
        <v>7115.3</v>
      </c>
      <c r="E28" s="11">
        <v>7202.1849000000002</v>
      </c>
      <c r="F28" s="12">
        <v>7075</v>
      </c>
      <c r="G28" s="12">
        <v>7094.4</v>
      </c>
      <c r="H28" s="4">
        <v>7119.0128999999997</v>
      </c>
      <c r="I28" s="4">
        <v>6986</v>
      </c>
      <c r="J28" s="4">
        <v>7053.6</v>
      </c>
      <c r="K28" s="4">
        <v>7198.3411999999998</v>
      </c>
      <c r="L28" s="4">
        <v>7068</v>
      </c>
      <c r="M28" s="4">
        <v>7099.4</v>
      </c>
      <c r="N28" s="4">
        <v>7221.9670999999998</v>
      </c>
      <c r="O28" s="4">
        <v>7081</v>
      </c>
      <c r="P28" s="4">
        <v>7121.3</v>
      </c>
      <c r="Q28" s="11">
        <v>6806.6364000000003</v>
      </c>
      <c r="R28" s="12">
        <v>6680</v>
      </c>
      <c r="S28" s="12">
        <v>6720.2</v>
      </c>
      <c r="T28" s="4">
        <v>6475.3257999999996</v>
      </c>
      <c r="U28" s="4">
        <v>6344</v>
      </c>
      <c r="V28" s="4">
        <v>6355.2</v>
      </c>
    </row>
    <row r="29" spans="1:22" s="6" customFormat="1" x14ac:dyDescent="0.25">
      <c r="A29" s="5" t="s">
        <v>23</v>
      </c>
      <c r="B29" s="10">
        <v>7083.1944999999996</v>
      </c>
      <c r="C29" s="4">
        <v>6951</v>
      </c>
      <c r="D29" s="4">
        <v>7042.4</v>
      </c>
      <c r="E29" s="11">
        <v>7163.6328000000003</v>
      </c>
      <c r="F29" s="12">
        <v>7034</v>
      </c>
      <c r="G29" s="12">
        <v>7078.6</v>
      </c>
      <c r="H29" s="4">
        <v>7080.7479000000003</v>
      </c>
      <c r="I29" s="4">
        <v>6946</v>
      </c>
      <c r="J29" s="4">
        <v>7004.5</v>
      </c>
      <c r="K29" s="4">
        <v>7177.7722999999996</v>
      </c>
      <c r="L29" s="4">
        <v>7049</v>
      </c>
      <c r="M29" s="4">
        <v>7052.4</v>
      </c>
      <c r="N29" s="4">
        <v>7238.3743000000004</v>
      </c>
      <c r="O29" s="4">
        <v>7104</v>
      </c>
      <c r="P29" s="4">
        <v>7087.3</v>
      </c>
      <c r="Q29" s="11">
        <v>6817.2636000000002</v>
      </c>
      <c r="R29" s="12">
        <v>6687</v>
      </c>
      <c r="S29" s="12">
        <v>6727.3</v>
      </c>
      <c r="T29" s="4">
        <v>6411.0401000000002</v>
      </c>
      <c r="U29" s="4">
        <v>6283</v>
      </c>
      <c r="V29" s="4">
        <v>6370.6</v>
      </c>
    </row>
    <row r="30" spans="1:22" s="6" customFormat="1" x14ac:dyDescent="0.25">
      <c r="A30" s="5" t="s">
        <v>24</v>
      </c>
      <c r="B30" s="10">
        <v>7030.1118999999999</v>
      </c>
      <c r="C30" s="4">
        <v>6903</v>
      </c>
      <c r="D30" s="4">
        <v>6938.2</v>
      </c>
      <c r="E30" s="11">
        <v>7066.3395</v>
      </c>
      <c r="F30" s="12">
        <v>6944</v>
      </c>
      <c r="G30" s="12">
        <v>7019.8</v>
      </c>
      <c r="H30" s="4">
        <v>7042.2087000000001</v>
      </c>
      <c r="I30" s="4">
        <v>6908</v>
      </c>
      <c r="J30" s="4">
        <v>6931.7</v>
      </c>
      <c r="K30" s="4">
        <v>7126.1120000000001</v>
      </c>
      <c r="L30" s="4">
        <v>7000</v>
      </c>
      <c r="M30" s="4">
        <v>6991.6</v>
      </c>
      <c r="N30" s="4">
        <v>7212.0299000000005</v>
      </c>
      <c r="O30" s="4">
        <v>7073</v>
      </c>
      <c r="P30" s="4">
        <v>6991.2</v>
      </c>
      <c r="Q30" s="11">
        <v>6720.8868000000002</v>
      </c>
      <c r="R30" s="12">
        <v>6592</v>
      </c>
      <c r="S30" s="12">
        <v>6639.4</v>
      </c>
      <c r="T30" s="4">
        <v>6381.5212000000001</v>
      </c>
      <c r="U30" s="4">
        <v>6255</v>
      </c>
      <c r="V30" s="4">
        <v>6321.3</v>
      </c>
    </row>
    <row r="31" spans="1:22" s="6" customFormat="1" x14ac:dyDescent="0.25">
      <c r="A31" s="5" t="s">
        <v>25</v>
      </c>
      <c r="B31" s="10">
        <v>6953.3054000000002</v>
      </c>
      <c r="C31" s="4">
        <v>6825</v>
      </c>
      <c r="D31" s="4">
        <v>6968.6</v>
      </c>
      <c r="E31" s="11">
        <v>7065.6913999999997</v>
      </c>
      <c r="F31" s="12">
        <v>6942</v>
      </c>
      <c r="G31" s="12">
        <v>7006.2</v>
      </c>
      <c r="H31" s="4">
        <v>7038.5304999999998</v>
      </c>
      <c r="I31" s="4">
        <v>6903</v>
      </c>
      <c r="J31" s="4">
        <v>6908.9</v>
      </c>
      <c r="K31" s="4">
        <v>7088.5468000000001</v>
      </c>
      <c r="L31" s="4">
        <v>6963</v>
      </c>
      <c r="M31" s="4">
        <v>6984.3</v>
      </c>
      <c r="N31" s="4">
        <v>7146.8975</v>
      </c>
      <c r="O31" s="4">
        <v>7010</v>
      </c>
      <c r="P31" s="4">
        <v>6999.4</v>
      </c>
      <c r="Q31" s="11">
        <v>6660.6508000000003</v>
      </c>
      <c r="R31" s="12">
        <v>6539</v>
      </c>
      <c r="S31" s="12">
        <v>6629.9</v>
      </c>
      <c r="T31" s="4">
        <v>6365.2168000000001</v>
      </c>
      <c r="U31" s="4">
        <v>6244</v>
      </c>
      <c r="V31" s="4">
        <v>6267.3</v>
      </c>
    </row>
    <row r="32" spans="1:22" s="6" customFormat="1" x14ac:dyDescent="0.25">
      <c r="A32" s="5" t="s">
        <v>26</v>
      </c>
      <c r="B32" s="10">
        <v>7032.4907999999996</v>
      </c>
      <c r="C32" s="4">
        <v>6906</v>
      </c>
      <c r="D32" s="4">
        <v>7027.2</v>
      </c>
      <c r="E32" s="11">
        <v>7119.4165000000003</v>
      </c>
      <c r="F32" s="12">
        <v>6994</v>
      </c>
      <c r="G32" s="12">
        <v>7025.2</v>
      </c>
      <c r="H32" s="4">
        <v>7096.6932999999999</v>
      </c>
      <c r="I32" s="4">
        <v>6963</v>
      </c>
      <c r="J32" s="4">
        <v>6972.5</v>
      </c>
      <c r="K32" s="4">
        <v>7172.9648999999999</v>
      </c>
      <c r="L32" s="4">
        <v>7045</v>
      </c>
      <c r="M32" s="4">
        <v>7041.9</v>
      </c>
      <c r="N32" s="4">
        <v>7195.4341999999997</v>
      </c>
      <c r="O32" s="4">
        <v>7065</v>
      </c>
      <c r="P32" s="4">
        <v>7080.8</v>
      </c>
      <c r="Q32" s="11">
        <v>6692.2788</v>
      </c>
      <c r="R32" s="12">
        <v>6564</v>
      </c>
      <c r="S32" s="12">
        <v>6562.3</v>
      </c>
      <c r="T32" s="4">
        <v>6466.1066000000001</v>
      </c>
      <c r="U32" s="4">
        <v>6344</v>
      </c>
      <c r="V32" s="4">
        <v>6298.9</v>
      </c>
    </row>
    <row r="33" spans="1:22" s="6" customFormat="1" x14ac:dyDescent="0.25">
      <c r="A33" s="5" t="s">
        <v>27</v>
      </c>
      <c r="B33" s="10">
        <v>7108.2947000000004</v>
      </c>
      <c r="C33" s="4">
        <v>6987</v>
      </c>
      <c r="D33" s="4">
        <v>6975.5</v>
      </c>
      <c r="E33" s="11">
        <v>7185.3159999999998</v>
      </c>
      <c r="F33" s="12">
        <v>7058</v>
      </c>
      <c r="G33" s="12">
        <v>7112</v>
      </c>
      <c r="H33" s="4">
        <v>7147.9157999999998</v>
      </c>
      <c r="I33" s="4">
        <v>7018</v>
      </c>
      <c r="J33" s="4">
        <v>7069</v>
      </c>
      <c r="K33" s="4">
        <v>7187.9180999999999</v>
      </c>
      <c r="L33" s="4">
        <v>7063</v>
      </c>
      <c r="M33" s="4">
        <v>7116.9</v>
      </c>
      <c r="N33" s="4">
        <v>7245.2170999999998</v>
      </c>
      <c r="O33" s="4">
        <v>7114</v>
      </c>
      <c r="P33" s="4">
        <v>7137.9</v>
      </c>
      <c r="Q33" s="11">
        <v>6610.1116000000002</v>
      </c>
      <c r="R33" s="12">
        <v>6486</v>
      </c>
      <c r="S33" s="12">
        <v>6573.3</v>
      </c>
      <c r="T33" s="4">
        <v>6456.9519</v>
      </c>
      <c r="U33" s="4">
        <v>6332</v>
      </c>
      <c r="V33" s="4">
        <v>6342</v>
      </c>
    </row>
    <row r="34" spans="1:22" s="6" customFormat="1" x14ac:dyDescent="0.25">
      <c r="A34" s="5" t="s">
        <v>28</v>
      </c>
      <c r="B34" s="10">
        <v>7165.8283000000001</v>
      </c>
      <c r="C34" s="4">
        <v>7042</v>
      </c>
      <c r="D34" s="4">
        <v>7045.8</v>
      </c>
      <c r="E34" s="11">
        <v>7210.2677000000003</v>
      </c>
      <c r="F34" s="12">
        <v>7081</v>
      </c>
      <c r="G34" s="12">
        <v>7147.5</v>
      </c>
      <c r="H34" s="4">
        <v>7194.4578000000001</v>
      </c>
      <c r="I34" s="4">
        <v>7060</v>
      </c>
      <c r="J34" s="4">
        <v>7106.7</v>
      </c>
      <c r="K34" s="4">
        <v>7258.2434000000003</v>
      </c>
      <c r="L34" s="4">
        <v>7133</v>
      </c>
      <c r="M34" s="4">
        <v>7170.5</v>
      </c>
      <c r="N34" s="4">
        <v>7214.3200999999999</v>
      </c>
      <c r="O34" s="4">
        <v>7080</v>
      </c>
      <c r="P34" s="4">
        <v>7171.6</v>
      </c>
      <c r="Q34" s="11">
        <v>6640.5042000000003</v>
      </c>
      <c r="R34" s="12">
        <v>6517</v>
      </c>
      <c r="S34" s="12">
        <v>6576.2</v>
      </c>
      <c r="T34" s="4">
        <v>6428.2448999999997</v>
      </c>
      <c r="U34" s="4">
        <v>6309</v>
      </c>
      <c r="V34" s="4">
        <v>6374.9</v>
      </c>
    </row>
    <row r="35" spans="1:22" s="6" customFormat="1" x14ac:dyDescent="0.25">
      <c r="A35" s="5" t="s">
        <v>29</v>
      </c>
      <c r="B35" s="10">
        <v>7153.7825999999995</v>
      </c>
      <c r="C35" s="4">
        <v>7025</v>
      </c>
      <c r="D35" s="4">
        <v>7101.4</v>
      </c>
      <c r="E35" s="11">
        <v>7156.8589000000002</v>
      </c>
      <c r="F35" s="12">
        <v>7027</v>
      </c>
      <c r="G35" s="12">
        <v>7143.2</v>
      </c>
      <c r="H35" s="4">
        <v>7197.1782000000003</v>
      </c>
      <c r="I35" s="4">
        <v>7064</v>
      </c>
      <c r="J35" s="4">
        <v>7091.6</v>
      </c>
      <c r="K35" s="4">
        <v>7249.7914000000001</v>
      </c>
      <c r="L35" s="4">
        <v>7125</v>
      </c>
      <c r="M35" s="4">
        <v>7128.8</v>
      </c>
      <c r="N35" s="4">
        <v>7263.6193999999996</v>
      </c>
      <c r="O35" s="4">
        <v>7129</v>
      </c>
      <c r="P35" s="4">
        <v>7134.3</v>
      </c>
      <c r="Q35" s="11">
        <v>6684.2317999999996</v>
      </c>
      <c r="R35" s="12">
        <v>6561</v>
      </c>
      <c r="S35" s="12">
        <v>6499.4</v>
      </c>
      <c r="T35" s="4">
        <v>6429.692</v>
      </c>
      <c r="U35" s="4">
        <v>6300</v>
      </c>
      <c r="V35" s="4">
        <v>6370.5</v>
      </c>
    </row>
    <row r="36" spans="1:22" s="6" customFormat="1" x14ac:dyDescent="0.25">
      <c r="A36" s="5" t="s">
        <v>30</v>
      </c>
      <c r="B36" s="10">
        <v>7139.0601999999999</v>
      </c>
      <c r="C36" s="4">
        <v>7010</v>
      </c>
      <c r="D36" s="4">
        <v>7125.9</v>
      </c>
      <c r="E36" s="12">
        <v>7123.7591000000002</v>
      </c>
      <c r="F36" s="12">
        <v>6995</v>
      </c>
      <c r="G36" s="12">
        <v>7135.8</v>
      </c>
      <c r="H36" s="4">
        <v>7186.5285999999996</v>
      </c>
      <c r="I36" s="4">
        <v>7053</v>
      </c>
      <c r="J36" s="4">
        <v>7100.2</v>
      </c>
      <c r="K36" s="4">
        <v>7204.2411000000002</v>
      </c>
      <c r="L36" s="4">
        <v>7081</v>
      </c>
      <c r="M36" s="4">
        <v>7156.4</v>
      </c>
      <c r="N36" s="4">
        <v>7233.1628000000001</v>
      </c>
      <c r="O36" s="4">
        <v>7096</v>
      </c>
      <c r="P36" s="4">
        <v>7061.1</v>
      </c>
      <c r="Q36" s="11">
        <v>6624.1934000000001</v>
      </c>
      <c r="R36" s="12">
        <v>6502</v>
      </c>
      <c r="S36" s="12">
        <v>6517.2</v>
      </c>
      <c r="T36" s="4">
        <v>6455.0807999999997</v>
      </c>
      <c r="U36" s="4">
        <v>6319</v>
      </c>
      <c r="V36" s="4">
        <v>6362.3</v>
      </c>
    </row>
    <row r="37" spans="1:22" s="6" customFormat="1" x14ac:dyDescent="0.25">
      <c r="A37" s="5" t="s">
        <v>31</v>
      </c>
      <c r="B37" s="10">
        <v>7146.6860999999999</v>
      </c>
      <c r="C37" s="4">
        <v>7017</v>
      </c>
      <c r="D37" s="4">
        <v>7150.2</v>
      </c>
      <c r="E37" s="12">
        <v>7185.4615000000003</v>
      </c>
      <c r="F37" s="12">
        <v>7063</v>
      </c>
      <c r="G37" s="12">
        <v>7114.1</v>
      </c>
      <c r="H37" s="4">
        <v>7220.9598999999998</v>
      </c>
      <c r="I37" s="4">
        <v>7089</v>
      </c>
      <c r="J37" s="4">
        <v>7124.4</v>
      </c>
      <c r="K37" s="4">
        <v>7183.7466999999997</v>
      </c>
      <c r="L37" s="4">
        <v>7058</v>
      </c>
      <c r="M37" s="4">
        <v>7173.5</v>
      </c>
      <c r="N37" s="4">
        <v>7258.6886000000004</v>
      </c>
      <c r="O37" s="4">
        <v>7123</v>
      </c>
      <c r="P37" s="4">
        <v>7133.5</v>
      </c>
      <c r="Q37" s="11">
        <v>6659.3004000000001</v>
      </c>
      <c r="R37" s="12">
        <v>6535</v>
      </c>
      <c r="S37" s="12">
        <v>6560.1</v>
      </c>
      <c r="T37" s="4">
        <v>6501.1889000000001</v>
      </c>
      <c r="U37" s="4">
        <v>6365</v>
      </c>
      <c r="V37" s="4">
        <v>6337.6</v>
      </c>
    </row>
    <row r="38" spans="1:22" s="6" customFormat="1" x14ac:dyDescent="0.25">
      <c r="A38" s="5" t="s">
        <v>32</v>
      </c>
      <c r="B38" s="10">
        <v>7170.8451999999997</v>
      </c>
      <c r="C38" s="4">
        <v>7041</v>
      </c>
      <c r="D38" s="4">
        <v>7130</v>
      </c>
      <c r="E38" s="12">
        <v>7213.8036000000002</v>
      </c>
      <c r="F38" s="12">
        <v>7088</v>
      </c>
      <c r="G38" s="12">
        <v>7098.2</v>
      </c>
      <c r="H38" s="4">
        <v>7226.7089999999998</v>
      </c>
      <c r="I38" s="4">
        <v>7094</v>
      </c>
      <c r="J38" s="4">
        <v>7122.6</v>
      </c>
      <c r="K38" s="4">
        <v>7210.0216</v>
      </c>
      <c r="L38" s="4">
        <v>7092</v>
      </c>
      <c r="M38" s="4">
        <v>7148</v>
      </c>
      <c r="N38" s="4">
        <v>7259.2407999999996</v>
      </c>
      <c r="O38" s="4">
        <v>7124</v>
      </c>
      <c r="P38" s="4">
        <v>7137.8</v>
      </c>
      <c r="Q38" s="11">
        <v>6671.4359999999997</v>
      </c>
      <c r="R38" s="12">
        <v>6548</v>
      </c>
      <c r="S38" s="12">
        <v>6551</v>
      </c>
      <c r="T38" s="4">
        <v>6464.1814999999997</v>
      </c>
      <c r="U38" s="4">
        <v>6333</v>
      </c>
      <c r="V38" s="4">
        <v>6362.7</v>
      </c>
    </row>
    <row r="39" spans="1:22" s="6" customFormat="1" x14ac:dyDescent="0.25">
      <c r="A39" s="5" t="s">
        <v>33</v>
      </c>
      <c r="B39" s="10">
        <v>7183.2201999999997</v>
      </c>
      <c r="C39" s="4">
        <v>7054</v>
      </c>
      <c r="D39" s="4">
        <v>7122.8</v>
      </c>
      <c r="E39" s="12">
        <v>7221.2282999999998</v>
      </c>
      <c r="F39" s="12">
        <v>7104</v>
      </c>
      <c r="G39" s="12">
        <v>7144.6</v>
      </c>
      <c r="H39" s="4">
        <v>7204.8667999999998</v>
      </c>
      <c r="I39" s="4">
        <v>7073</v>
      </c>
      <c r="J39" s="4">
        <v>7144.8</v>
      </c>
      <c r="K39" s="4">
        <v>7283.0356000000002</v>
      </c>
      <c r="L39" s="4">
        <v>7161</v>
      </c>
      <c r="M39" s="4">
        <v>7127.7</v>
      </c>
      <c r="N39" s="4">
        <v>7217.6185999999998</v>
      </c>
      <c r="O39" s="4">
        <v>7082</v>
      </c>
      <c r="P39" s="4">
        <v>7140.5</v>
      </c>
      <c r="Q39" s="11">
        <v>6681.7241999999997</v>
      </c>
      <c r="R39" s="12">
        <v>6559</v>
      </c>
      <c r="S39" s="12">
        <v>6561.2</v>
      </c>
      <c r="T39" s="4">
        <v>6498.9948999999997</v>
      </c>
      <c r="U39" s="4">
        <v>6367</v>
      </c>
      <c r="V39" s="4">
        <v>6415.7</v>
      </c>
    </row>
    <row r="40" spans="1:22" s="6" customFormat="1" x14ac:dyDescent="0.25">
      <c r="A40" s="5" t="s">
        <v>34</v>
      </c>
      <c r="B40" s="10">
        <v>7167.3849</v>
      </c>
      <c r="C40" s="4">
        <v>7039</v>
      </c>
      <c r="D40" s="4">
        <v>7133.1</v>
      </c>
      <c r="E40" s="12">
        <v>7206.2979999999998</v>
      </c>
      <c r="F40" s="12">
        <v>7087</v>
      </c>
      <c r="G40" s="12">
        <v>7148.3</v>
      </c>
      <c r="H40" s="4">
        <v>7185.1207999999997</v>
      </c>
      <c r="I40" s="4">
        <v>7054</v>
      </c>
      <c r="J40" s="4">
        <v>7136.9</v>
      </c>
      <c r="K40" s="4">
        <v>7306.7882</v>
      </c>
      <c r="L40" s="4">
        <v>7183</v>
      </c>
      <c r="M40" s="4">
        <v>7139.4</v>
      </c>
      <c r="N40" s="4">
        <v>7216.1307999999999</v>
      </c>
      <c r="O40" s="4">
        <v>7089</v>
      </c>
      <c r="P40" s="4">
        <v>7118.2</v>
      </c>
      <c r="Q40" s="11">
        <v>6656.5029999999997</v>
      </c>
      <c r="R40" s="12">
        <v>6538</v>
      </c>
      <c r="S40" s="12">
        <v>6553.2</v>
      </c>
      <c r="T40" s="4">
        <v>6515.0320000000002</v>
      </c>
      <c r="U40" s="4">
        <v>6383</v>
      </c>
      <c r="V40" s="4">
        <v>6402.6</v>
      </c>
    </row>
    <row r="41" spans="1:22" s="6" customFormat="1" x14ac:dyDescent="0.25">
      <c r="A41" s="5" t="s">
        <v>35</v>
      </c>
      <c r="B41" s="10">
        <v>7136.5951999999997</v>
      </c>
      <c r="C41" s="4">
        <v>7004</v>
      </c>
      <c r="D41" s="4">
        <v>7082.2</v>
      </c>
      <c r="E41" s="12">
        <v>7194.1075000000001</v>
      </c>
      <c r="F41" s="12">
        <v>7069</v>
      </c>
      <c r="G41" s="12">
        <v>7107.2</v>
      </c>
      <c r="H41" s="4">
        <v>7155.4250000000002</v>
      </c>
      <c r="I41" s="4">
        <v>7022</v>
      </c>
      <c r="J41" s="4">
        <v>7070.4</v>
      </c>
      <c r="K41" s="4">
        <v>7274.8545000000004</v>
      </c>
      <c r="L41" s="4">
        <v>7150</v>
      </c>
      <c r="M41" s="4">
        <v>7135</v>
      </c>
      <c r="N41" s="4">
        <v>7231.8734000000004</v>
      </c>
      <c r="O41" s="4">
        <v>7105</v>
      </c>
      <c r="P41" s="4">
        <v>7053.1</v>
      </c>
      <c r="Q41" s="11">
        <v>6683.4349000000002</v>
      </c>
      <c r="R41" s="12">
        <v>6559</v>
      </c>
      <c r="S41" s="12">
        <v>6565.6</v>
      </c>
      <c r="T41" s="4">
        <v>6558.6075000000001</v>
      </c>
      <c r="U41" s="4">
        <v>6424</v>
      </c>
      <c r="V41" s="4">
        <v>6429.4</v>
      </c>
    </row>
    <row r="42" spans="1:22" s="6" customFormat="1" x14ac:dyDescent="0.25">
      <c r="A42" s="5" t="s">
        <v>36</v>
      </c>
      <c r="B42" s="10">
        <v>7091.4723000000004</v>
      </c>
      <c r="C42" s="4">
        <v>6957</v>
      </c>
      <c r="D42" s="4">
        <v>6976.4</v>
      </c>
      <c r="E42" s="12">
        <v>7128.3422</v>
      </c>
      <c r="F42" s="12">
        <v>7006</v>
      </c>
      <c r="G42" s="12">
        <v>6999.3</v>
      </c>
      <c r="H42" s="4">
        <v>7091.8101999999999</v>
      </c>
      <c r="I42" s="4">
        <v>6964</v>
      </c>
      <c r="J42" s="4">
        <v>6976.5</v>
      </c>
      <c r="K42" s="4">
        <v>7217.2115999999996</v>
      </c>
      <c r="L42" s="4">
        <v>7093</v>
      </c>
      <c r="M42" s="4">
        <v>7069</v>
      </c>
      <c r="N42" s="4">
        <v>7138.3998000000001</v>
      </c>
      <c r="O42" s="4">
        <v>7006</v>
      </c>
      <c r="P42" s="4">
        <v>6995</v>
      </c>
      <c r="Q42" s="11">
        <v>6664.6841999999997</v>
      </c>
      <c r="R42" s="12">
        <v>6539</v>
      </c>
      <c r="S42" s="12">
        <v>6548.9</v>
      </c>
      <c r="T42" s="4">
        <v>6602.9269000000004</v>
      </c>
      <c r="U42" s="4">
        <v>6475</v>
      </c>
      <c r="V42" s="4">
        <v>6457.1</v>
      </c>
    </row>
    <row r="43" spans="1:22" s="6" customFormat="1" x14ac:dyDescent="0.25">
      <c r="A43" s="5" t="s">
        <v>37</v>
      </c>
      <c r="B43" s="10">
        <v>7073.2942000000003</v>
      </c>
      <c r="C43" s="4">
        <v>6943</v>
      </c>
      <c r="D43" s="4">
        <v>6971.1</v>
      </c>
      <c r="E43" s="12">
        <v>7180.6009999999997</v>
      </c>
      <c r="F43" s="12">
        <v>7053</v>
      </c>
      <c r="G43" s="12">
        <v>7007.7</v>
      </c>
      <c r="H43" s="4">
        <v>7121.8798999999999</v>
      </c>
      <c r="I43" s="4">
        <v>6990</v>
      </c>
      <c r="J43" s="4">
        <v>6971.9</v>
      </c>
      <c r="K43" s="4">
        <v>7239.3023000000003</v>
      </c>
      <c r="L43" s="4">
        <v>7116</v>
      </c>
      <c r="M43" s="4">
        <v>7065.5</v>
      </c>
      <c r="N43" s="4">
        <v>7116.8297000000002</v>
      </c>
      <c r="O43" s="4">
        <v>6982</v>
      </c>
      <c r="P43" s="4">
        <v>7038.6</v>
      </c>
      <c r="Q43" s="11">
        <v>6709.1229000000003</v>
      </c>
      <c r="R43" s="12">
        <v>6584</v>
      </c>
      <c r="S43" s="12">
        <v>6614.1</v>
      </c>
      <c r="T43" s="4">
        <v>6663.1009000000004</v>
      </c>
      <c r="U43" s="4">
        <v>6536</v>
      </c>
      <c r="V43" s="4">
        <v>6518.4</v>
      </c>
    </row>
    <row r="44" spans="1:22" s="6" customFormat="1" x14ac:dyDescent="0.25">
      <c r="A44" s="5" t="s">
        <v>38</v>
      </c>
      <c r="B44" s="10">
        <v>7062.9907000000003</v>
      </c>
      <c r="C44" s="4">
        <v>6930</v>
      </c>
      <c r="D44" s="4">
        <v>6988.2</v>
      </c>
      <c r="E44" s="12">
        <v>7135.8058000000001</v>
      </c>
      <c r="F44" s="12">
        <v>7008</v>
      </c>
      <c r="G44" s="12">
        <v>6993.1</v>
      </c>
      <c r="H44" s="4">
        <v>7110.0095000000001</v>
      </c>
      <c r="I44" s="4">
        <v>6975</v>
      </c>
      <c r="J44" s="4">
        <v>6951.8</v>
      </c>
      <c r="K44" s="4">
        <v>7219.0774000000001</v>
      </c>
      <c r="L44" s="4">
        <v>7084</v>
      </c>
      <c r="M44" s="4">
        <v>7046.7</v>
      </c>
      <c r="N44" s="4">
        <v>7086.2996000000003</v>
      </c>
      <c r="O44" s="4">
        <v>6948</v>
      </c>
      <c r="P44" s="4">
        <v>6976.9</v>
      </c>
      <c r="Q44" s="11">
        <v>6757.9458999999997</v>
      </c>
      <c r="R44" s="12">
        <v>6633</v>
      </c>
      <c r="S44" s="12">
        <v>6636.6</v>
      </c>
      <c r="T44" s="4">
        <v>6702.89</v>
      </c>
      <c r="U44" s="4">
        <v>6575</v>
      </c>
      <c r="V44" s="4">
        <v>6556.4</v>
      </c>
    </row>
    <row r="45" spans="1:22" s="6" customFormat="1" x14ac:dyDescent="0.25">
      <c r="A45" s="5" t="s">
        <v>39</v>
      </c>
      <c r="B45" s="10">
        <v>7048.4219000000003</v>
      </c>
      <c r="C45" s="4">
        <v>6917</v>
      </c>
      <c r="D45" s="4">
        <v>6979.1</v>
      </c>
      <c r="E45" s="12">
        <v>7123.2532000000001</v>
      </c>
      <c r="F45" s="12">
        <v>6994</v>
      </c>
      <c r="G45" s="12">
        <v>7020.6</v>
      </c>
      <c r="H45" s="4">
        <v>7106.6410999999998</v>
      </c>
      <c r="I45" s="4">
        <v>6974</v>
      </c>
      <c r="J45" s="4">
        <v>6964.8</v>
      </c>
      <c r="K45" s="4">
        <v>7222.4202999999998</v>
      </c>
      <c r="L45" s="4">
        <v>7088</v>
      </c>
      <c r="M45" s="4">
        <v>7058</v>
      </c>
      <c r="N45" s="4">
        <v>7071.5322999999999</v>
      </c>
      <c r="O45" s="4">
        <v>6935</v>
      </c>
      <c r="P45" s="4">
        <v>6943.9</v>
      </c>
      <c r="Q45" s="11">
        <v>6767.1764000000003</v>
      </c>
      <c r="R45" s="12">
        <v>6644</v>
      </c>
      <c r="S45" s="12">
        <v>6642</v>
      </c>
      <c r="T45" s="4">
        <v>6750.8257000000003</v>
      </c>
      <c r="U45" s="4">
        <v>6629</v>
      </c>
      <c r="V45" s="4">
        <v>6599.1</v>
      </c>
    </row>
    <row r="46" spans="1:22" s="6" customFormat="1" x14ac:dyDescent="0.25">
      <c r="A46" s="5" t="s">
        <v>40</v>
      </c>
      <c r="B46" s="10">
        <v>7031.9678000000004</v>
      </c>
      <c r="C46" s="4">
        <v>6902</v>
      </c>
      <c r="D46" s="4">
        <v>6960.3</v>
      </c>
      <c r="E46" s="12">
        <v>7096.9233000000004</v>
      </c>
      <c r="F46" s="12">
        <v>6972</v>
      </c>
      <c r="G46" s="12">
        <v>6989.6</v>
      </c>
      <c r="H46" s="4">
        <v>7080.9831999999997</v>
      </c>
      <c r="I46" s="4">
        <v>6952</v>
      </c>
      <c r="J46" s="4">
        <v>6955.5</v>
      </c>
      <c r="K46" s="4">
        <v>7198.9363000000003</v>
      </c>
      <c r="L46" s="4">
        <v>7061</v>
      </c>
      <c r="M46" s="4">
        <v>7037.7</v>
      </c>
      <c r="N46" s="4">
        <v>7050.0029999999997</v>
      </c>
      <c r="O46" s="4">
        <v>6911</v>
      </c>
      <c r="P46" s="4">
        <v>6927</v>
      </c>
      <c r="Q46" s="11">
        <v>6780.5554000000002</v>
      </c>
      <c r="R46" s="12">
        <v>6655</v>
      </c>
      <c r="S46" s="12">
        <v>6661.3</v>
      </c>
      <c r="T46" s="4">
        <v>6772.0203000000001</v>
      </c>
      <c r="U46" s="4">
        <v>6651</v>
      </c>
      <c r="V46" s="4">
        <v>6640.3</v>
      </c>
    </row>
    <row r="47" spans="1:22" s="6" customFormat="1" x14ac:dyDescent="0.25">
      <c r="A47" s="5" t="s">
        <v>41</v>
      </c>
      <c r="B47" s="10">
        <v>6967.1857</v>
      </c>
      <c r="C47" s="4">
        <v>6837</v>
      </c>
      <c r="D47" s="4">
        <v>6931</v>
      </c>
      <c r="E47" s="12">
        <v>7028.3689999999997</v>
      </c>
      <c r="F47" s="12">
        <v>6898</v>
      </c>
      <c r="G47" s="12">
        <v>6959.2</v>
      </c>
      <c r="H47" s="4">
        <v>7025.0838000000003</v>
      </c>
      <c r="I47" s="4">
        <v>6894</v>
      </c>
      <c r="J47" s="4">
        <v>6926.4</v>
      </c>
      <c r="K47" s="4">
        <v>7146.4816000000001</v>
      </c>
      <c r="L47" s="4">
        <v>7013</v>
      </c>
      <c r="M47" s="4">
        <v>7011.5</v>
      </c>
      <c r="N47" s="4">
        <v>6997.5465999999997</v>
      </c>
      <c r="O47" s="4">
        <v>6857</v>
      </c>
      <c r="P47" s="4">
        <v>6871.7</v>
      </c>
      <c r="Q47" s="11">
        <v>6759.9690000000001</v>
      </c>
      <c r="R47" s="12">
        <v>6636</v>
      </c>
      <c r="S47" s="12">
        <v>6653.2</v>
      </c>
      <c r="T47" s="4">
        <v>6772.6992</v>
      </c>
      <c r="U47" s="4">
        <v>6647</v>
      </c>
      <c r="V47" s="4">
        <v>6655.3</v>
      </c>
    </row>
    <row r="48" spans="1:22" s="6" customFormat="1" x14ac:dyDescent="0.25">
      <c r="A48" s="5" t="s">
        <v>42</v>
      </c>
      <c r="B48" s="10">
        <v>6869.4351999999999</v>
      </c>
      <c r="C48" s="4">
        <v>6737</v>
      </c>
      <c r="D48" s="4">
        <v>6869.8</v>
      </c>
      <c r="E48" s="12">
        <v>6926.8369000000002</v>
      </c>
      <c r="F48" s="12">
        <v>6798</v>
      </c>
      <c r="G48" s="12">
        <v>6893.9</v>
      </c>
      <c r="H48" s="4">
        <v>6932.8837999999996</v>
      </c>
      <c r="I48" s="4">
        <v>6797</v>
      </c>
      <c r="J48" s="4">
        <v>6851.2</v>
      </c>
      <c r="K48" s="4">
        <v>7046.8855999999996</v>
      </c>
      <c r="L48" s="4">
        <v>6912</v>
      </c>
      <c r="M48" s="4">
        <v>6933</v>
      </c>
      <c r="N48" s="4">
        <v>6919.8675999999996</v>
      </c>
      <c r="O48" s="4">
        <v>6783</v>
      </c>
      <c r="P48" s="4">
        <v>6776.5</v>
      </c>
      <c r="Q48" s="11">
        <v>6733.4137000000001</v>
      </c>
      <c r="R48" s="12">
        <v>6601</v>
      </c>
      <c r="S48" s="12">
        <v>6630.7</v>
      </c>
      <c r="T48" s="4">
        <v>6742.2151000000003</v>
      </c>
      <c r="U48" s="4">
        <v>6614</v>
      </c>
      <c r="V48" s="4">
        <v>6629.9</v>
      </c>
    </row>
    <row r="49" spans="1:22" s="6" customFormat="1" x14ac:dyDescent="0.25">
      <c r="A49" s="5" t="s">
        <v>43</v>
      </c>
      <c r="B49" s="10">
        <v>6728.0772999999999</v>
      </c>
      <c r="C49" s="4">
        <v>6591</v>
      </c>
      <c r="D49" s="4">
        <v>6731.2</v>
      </c>
      <c r="E49" s="12">
        <v>6786.2039000000004</v>
      </c>
      <c r="F49" s="12">
        <v>6653</v>
      </c>
      <c r="G49" s="12">
        <v>6746.9</v>
      </c>
      <c r="H49" s="4">
        <v>6793.4412000000002</v>
      </c>
      <c r="I49" s="4">
        <v>6659</v>
      </c>
      <c r="J49" s="4">
        <v>6717.5</v>
      </c>
      <c r="K49" s="4">
        <v>6923.5976000000001</v>
      </c>
      <c r="L49" s="4">
        <v>6790</v>
      </c>
      <c r="M49" s="4">
        <v>6805.8</v>
      </c>
      <c r="N49" s="4">
        <v>6797.4780000000001</v>
      </c>
      <c r="O49" s="4">
        <v>6656</v>
      </c>
      <c r="P49" s="4">
        <v>6644.7</v>
      </c>
      <c r="Q49" s="11">
        <v>6679.3365999999996</v>
      </c>
      <c r="R49" s="12">
        <v>6551</v>
      </c>
      <c r="S49" s="12">
        <v>6562.9</v>
      </c>
      <c r="T49" s="4">
        <v>6653.8987999999999</v>
      </c>
      <c r="U49" s="4">
        <v>6522</v>
      </c>
      <c r="V49" s="4">
        <v>6545.4</v>
      </c>
    </row>
    <row r="50" spans="1:22" s="6" customFormat="1" x14ac:dyDescent="0.25">
      <c r="A50" s="5" t="s">
        <v>44</v>
      </c>
      <c r="B50" s="10">
        <v>6531.0879999999997</v>
      </c>
      <c r="C50" s="4">
        <v>6400</v>
      </c>
      <c r="D50" s="4">
        <v>6527.7</v>
      </c>
      <c r="E50" s="12">
        <v>6573.0186000000003</v>
      </c>
      <c r="F50" s="12">
        <v>6443</v>
      </c>
      <c r="G50" s="12">
        <v>6543.9</v>
      </c>
      <c r="H50" s="4">
        <v>6597.5046000000002</v>
      </c>
      <c r="I50" s="4">
        <v>6467</v>
      </c>
      <c r="J50" s="4">
        <v>6523.2</v>
      </c>
      <c r="K50" s="4">
        <v>6725.1927999999998</v>
      </c>
      <c r="L50" s="4">
        <v>6595</v>
      </c>
      <c r="M50" s="4">
        <v>6608.2</v>
      </c>
      <c r="N50" s="4">
        <v>6645.9677000000001</v>
      </c>
      <c r="O50" s="4">
        <v>6513</v>
      </c>
      <c r="P50" s="4">
        <v>6470.2</v>
      </c>
      <c r="Q50" s="11">
        <v>6543.5300999999999</v>
      </c>
      <c r="R50" s="12">
        <v>6414</v>
      </c>
      <c r="S50" s="12">
        <v>6429.3</v>
      </c>
      <c r="T50" s="4">
        <v>6499.4620000000004</v>
      </c>
      <c r="U50" s="4">
        <v>6366</v>
      </c>
      <c r="V50" s="4">
        <v>6375.3</v>
      </c>
    </row>
    <row r="51" spans="1:22" s="6" customFormat="1" x14ac:dyDescent="0.25">
      <c r="A51" s="5" t="s">
        <v>45</v>
      </c>
      <c r="B51" s="10">
        <v>6354.2048000000004</v>
      </c>
      <c r="C51" s="4">
        <v>6227</v>
      </c>
      <c r="D51" s="4">
        <v>6365.1</v>
      </c>
      <c r="E51" s="12">
        <v>6393.9732999999997</v>
      </c>
      <c r="F51" s="12">
        <v>6265</v>
      </c>
      <c r="G51" s="12">
        <v>6387</v>
      </c>
      <c r="H51" s="4">
        <v>6426.5237999999999</v>
      </c>
      <c r="I51" s="4">
        <v>6304</v>
      </c>
      <c r="J51" s="4">
        <v>6364.9</v>
      </c>
      <c r="K51" s="4">
        <v>6567.8077000000003</v>
      </c>
      <c r="L51" s="4">
        <v>6440</v>
      </c>
      <c r="M51" s="4">
        <v>6460.9</v>
      </c>
      <c r="N51" s="4">
        <v>6507.8005000000003</v>
      </c>
      <c r="O51" s="4">
        <v>6368</v>
      </c>
      <c r="P51" s="4">
        <v>6314</v>
      </c>
      <c r="Q51" s="11">
        <v>6445.6718000000001</v>
      </c>
      <c r="R51" s="12">
        <v>6316</v>
      </c>
      <c r="S51" s="12">
        <v>6334.7</v>
      </c>
      <c r="T51" s="4">
        <v>6343.0788000000002</v>
      </c>
      <c r="U51" s="4">
        <v>6210</v>
      </c>
      <c r="V51" s="4">
        <v>6233.1</v>
      </c>
    </row>
    <row r="52" spans="1:22" s="6" customFormat="1" x14ac:dyDescent="0.25">
      <c r="A52" s="5" t="s">
        <v>46</v>
      </c>
      <c r="B52" s="10">
        <v>6206.3092999999999</v>
      </c>
      <c r="C52" s="4">
        <v>6080</v>
      </c>
      <c r="D52" s="4">
        <v>6206.4</v>
      </c>
      <c r="E52" s="12">
        <v>6218.7730000000001</v>
      </c>
      <c r="F52" s="12">
        <v>6087</v>
      </c>
      <c r="G52" s="12">
        <v>6218.7</v>
      </c>
      <c r="H52" s="4">
        <v>6272.4534999999996</v>
      </c>
      <c r="I52" s="4">
        <v>6147</v>
      </c>
      <c r="J52" s="4">
        <v>6214.8</v>
      </c>
      <c r="K52" s="4">
        <v>6414.1912000000002</v>
      </c>
      <c r="L52" s="4">
        <v>6284</v>
      </c>
      <c r="M52" s="4">
        <v>6309</v>
      </c>
      <c r="N52" s="4">
        <v>6390.9911000000002</v>
      </c>
      <c r="O52" s="4">
        <v>6254</v>
      </c>
      <c r="P52" s="4">
        <v>6192.4</v>
      </c>
      <c r="Q52" s="11">
        <v>6330.2586000000001</v>
      </c>
      <c r="R52" s="12">
        <v>6200</v>
      </c>
      <c r="S52" s="12">
        <v>6224.5</v>
      </c>
      <c r="T52" s="4">
        <v>6206.2344000000003</v>
      </c>
      <c r="U52" s="4">
        <v>6074</v>
      </c>
      <c r="V52" s="4">
        <v>6106</v>
      </c>
    </row>
    <row r="53" spans="1:22" s="6" customFormat="1" x14ac:dyDescent="0.25">
      <c r="A53" s="5" t="s">
        <v>55</v>
      </c>
      <c r="B53" s="10">
        <v>6059.0869000000002</v>
      </c>
      <c r="C53" s="4">
        <v>5933</v>
      </c>
      <c r="D53" s="4">
        <v>6054.7</v>
      </c>
      <c r="E53" s="12">
        <v>6071.5703999999996</v>
      </c>
      <c r="F53" s="12">
        <v>5945</v>
      </c>
      <c r="G53" s="12">
        <v>6060.9</v>
      </c>
      <c r="H53" s="4">
        <v>6134.9360999999999</v>
      </c>
      <c r="I53" s="4">
        <v>6005</v>
      </c>
      <c r="J53" s="4">
        <v>6069</v>
      </c>
      <c r="K53" s="4">
        <v>6277.1309000000001</v>
      </c>
      <c r="L53" s="4">
        <v>6142</v>
      </c>
      <c r="M53" s="4">
        <v>6168.5</v>
      </c>
      <c r="N53" s="4">
        <v>6246.5735000000004</v>
      </c>
      <c r="O53" s="4">
        <v>6111</v>
      </c>
      <c r="P53" s="4">
        <v>6064.1</v>
      </c>
      <c r="Q53" s="11">
        <v>6216.4160000000002</v>
      </c>
      <c r="R53" s="12">
        <v>6084</v>
      </c>
      <c r="S53" s="12">
        <v>6126.5</v>
      </c>
      <c r="T53" s="4">
        <v>6065.5792000000001</v>
      </c>
      <c r="U53" s="4">
        <v>5926</v>
      </c>
      <c r="V53" s="4">
        <v>5974.8</v>
      </c>
    </row>
    <row r="55" spans="1:22" x14ac:dyDescent="0.25">
      <c r="A55" s="14" t="s">
        <v>60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x14ac:dyDescent="0.25">
      <c r="A56" s="8" t="s">
        <v>62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3" x14ac:dyDescent="0.25">
      <c r="A57" s="9" t="s">
        <v>63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3" x14ac:dyDescent="0.25">
      <c r="A58" s="9" t="s">
        <v>64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4" t="s">
        <v>61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</sheetData>
  <mergeCells count="17">
    <mergeCell ref="N3:P4"/>
    <mergeCell ref="A59:V59"/>
    <mergeCell ref="A55:V55"/>
    <mergeCell ref="A3:A5"/>
    <mergeCell ref="B2:D2"/>
    <mergeCell ref="B3:D4"/>
    <mergeCell ref="E3:G4"/>
    <mergeCell ref="E2:G2"/>
    <mergeCell ref="Q2:S2"/>
    <mergeCell ref="Q3:S4"/>
    <mergeCell ref="T3:V4"/>
    <mergeCell ref="T2:V2"/>
    <mergeCell ref="H2:J2"/>
    <mergeCell ref="H3:J4"/>
    <mergeCell ref="K2:M2"/>
    <mergeCell ref="K3:M4"/>
    <mergeCell ref="N2:P2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3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20_Message xmlns="8ec658c6-dba7-4aba-9565-cada3580c151" xsi:nil="true"/>
    <To xmlns="ffde67ac-ffe5-4439-8f85-bd14152e7e86">
      <UserInfo>
        <DisplayName/>
        <AccountId xsi:nil="true"/>
        <AccountType/>
      </UserInfo>
    </To>
    <Requester xmlns="8ec658c6-dba7-4aba-9565-cada3580c151">
      <UserInfo>
        <DisplayName/>
        <AccountId xsi:nil="true"/>
        <AccountType/>
      </UserInfo>
    </Requester>
    <FileShareTo xmlns="8ec658c6-dba7-4aba-9565-cada3580c151">
      <UserInfo>
        <DisplayName/>
        <AccountId xsi:nil="true"/>
        <AccountType/>
      </UserInfo>
    </FileShareTo>
    <CmtInputWF xmlns="8ec658c6-dba7-4aba-9565-cada3580c151" xsi:nil="true"/>
    <Approvers xmlns="8ec658c6-dba7-4aba-9565-cada3580c151">
      <UserInfo>
        <DisplayName/>
        <AccountId xsi:nil="true"/>
        <AccountType/>
      </UserInfo>
    </Approvers>
    <Get_x0020_Input_x0020_Status xmlns="8ec658c6-dba7-4aba-9565-cada3580c151" xsi:nil="true"/>
    <Get_x0020_Approver_x0020_Comments xmlns="8ec658c6-dba7-4aba-9565-cada3580c151" xsi:nil="true"/>
    <CC xmlns="8ec658c6-dba7-4aba-9565-cada3580c151">
      <UserInfo>
        <DisplayName/>
        <AccountId xsi:nil="true"/>
        <AccountType/>
      </UserInfo>
    </CC>
    <Input_x0020_Due_x0020_Date xmlns="8ec658c6-dba7-4aba-9565-cada3580c1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7532711F44748864E521553AA686E" ma:contentTypeVersion="24" ma:contentTypeDescription="Create a new document." ma:contentTypeScope="" ma:versionID="807eb58b51d96f2e4f37fd2c2f5a33fe">
  <xsd:schema xmlns:xsd="http://www.w3.org/2001/XMLSchema" xmlns:xs="http://www.w3.org/2001/XMLSchema" xmlns:p="http://schemas.microsoft.com/office/2006/metadata/properties" xmlns:ns2="ffde67ac-ffe5-4439-8f85-bd14152e7e86" xmlns:ns3="8ec658c6-dba7-4aba-9565-cada3580c151" xmlns:ns4="749c6f6d-5f98-4914-887f-119f566e6158" targetNamespace="http://schemas.microsoft.com/office/2006/metadata/properties" ma:root="true" ma:fieldsID="3720caa405375cddf7705031cbabb209" ns2:_="" ns3:_="" ns4:_="">
    <xsd:import namespace="ffde67ac-ffe5-4439-8f85-bd14152e7e86"/>
    <xsd:import namespace="8ec658c6-dba7-4aba-9565-cada3580c151"/>
    <xsd:import namespace="749c6f6d-5f98-4914-887f-119f566e6158"/>
    <xsd:element name="properties">
      <xsd:complexType>
        <xsd:sequence>
          <xsd:element name="documentManagement">
            <xsd:complexType>
              <xsd:all>
                <xsd:element ref="ns2:To" minOccurs="0"/>
                <xsd:element ref="ns3:Approvers" minOccurs="0"/>
                <xsd:element ref="ns3:CC" minOccurs="0"/>
                <xsd:element ref="ns3:CmtInputWF" minOccurs="0"/>
                <xsd:element ref="ns3:EMail_x0020_Message" minOccurs="0"/>
                <xsd:element ref="ns3:FileShareTo" minOccurs="0"/>
                <xsd:element ref="ns3:Get_x0020_Approver_x0020_Comments" minOccurs="0"/>
                <xsd:element ref="ns3:Get_x0020_Input_x0020_Status" minOccurs="0"/>
                <xsd:element ref="ns3:Input_x0020_Due_x0020_Date" minOccurs="0"/>
                <xsd:element ref="ns3:Requester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e67ac-ffe5-4439-8f85-bd14152e7e86" elementFormDefault="qualified">
    <xsd:import namespace="http://schemas.microsoft.com/office/2006/documentManagement/types"/>
    <xsd:import namespace="http://schemas.microsoft.com/office/infopath/2007/PartnerControls"/>
    <xsd:element name="To" ma:index="8" nillable="true" ma:displayName="To" ma:hidden="true" ma:list="UserInfo" ma:SearchPeopleOnly="false" ma:SharePointGroup="0" ma:internalName="To" ma:readOnly="false" ma:showField="EMai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658c6-dba7-4aba-9565-cada3580c151" elementFormDefault="qualified">
    <xsd:import namespace="http://schemas.microsoft.com/office/2006/documentManagement/types"/>
    <xsd:import namespace="http://schemas.microsoft.com/office/infopath/2007/PartnerControls"/>
    <xsd:element name="Approvers" ma:index="9" nillable="true" ma:displayName="Approvers" ma:hidden="true" ma:list="UserInfo" ma:SearchPeopleOnly="false" ma:SharePointGroup="0" ma:internalName="Approv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C" ma:index="10" nillable="true" ma:displayName="CC" ma:hidden="true" ma:list="UserInfo" ma:SearchPeopleOnly="false" ma:SharePointGroup="0" ma:internalName="CC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mtInputWF" ma:index="11" nillable="true" ma:displayName="CmtInputWF" ma:hidden="true" ma:internalName="CmtInputWF" ma:readOnly="false">
      <xsd:simpleType>
        <xsd:restriction base="dms:Note"/>
      </xsd:simpleType>
    </xsd:element>
    <xsd:element name="EMail_x0020_Message" ma:index="12" nillable="true" ma:displayName="EMail Message" ma:hidden="true" ma:internalName="EMail_x0020_Message" ma:readOnly="false">
      <xsd:simpleType>
        <xsd:restriction base="dms:Note"/>
      </xsd:simpleType>
    </xsd:element>
    <xsd:element name="FileShareTo" ma:index="13" nillable="true" ma:displayName="FileShareTo" ma:hidden="true" ma:list="UserInfo" ma:SearchPeopleOnly="false" ma:SharePointGroup="0" ma:internalName="FileShareTo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et_x0020_Approver_x0020_Comments" ma:index="14" nillable="true" ma:displayName="Get Approver Comments" ma:hidden="true" ma:internalName="Get_x0020_Approver_x0020_Comments" ma:readOnly="false">
      <xsd:simpleType>
        <xsd:restriction base="dms:Note"/>
      </xsd:simpleType>
    </xsd:element>
    <xsd:element name="Get_x0020_Input_x0020_Status" ma:index="15" nillable="true" ma:displayName="Get Input Status" ma:format="Dropdown" ma:hidden="true" ma:internalName="Get_x0020_Input_x0020_Status" ma:readOnly="false">
      <xsd:simpleType>
        <xsd:restriction base="dms:Choice">
          <xsd:enumeration value="In progress"/>
          <xsd:enumeration value="Completed"/>
          <xsd:enumeration value="Rejected"/>
          <xsd:enumeration value="Request for change"/>
          <xsd:enumeration value="Approved"/>
          <xsd:enumeration value="Resubmitted"/>
        </xsd:restriction>
      </xsd:simpleType>
    </xsd:element>
    <xsd:element name="Input_x0020_Due_x0020_Date" ma:index="16" nillable="true" ma:displayName="Input Due Date" ma:format="DateTime" ma:hidden="true" ma:internalName="Input_x0020_Due_x0020_Date" ma:readOnly="false">
      <xsd:simpleType>
        <xsd:restriction base="dms:DateTime"/>
      </xsd:simpleType>
    </xsd:element>
    <xsd:element name="Requester" ma:index="17" nillable="true" ma:displayName="Requester" ma:hidden="true" ma:list="UserInfo" ma:SharePointGroup="0" ma:internalName="Request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c6f6d-5f98-4914-887f-119f566e615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59D533-2645-4921-B013-370AF00CF63E}">
  <ds:schemaRefs>
    <ds:schemaRef ds:uri="http://schemas.microsoft.com/office/2006/metadata/properties"/>
    <ds:schemaRef ds:uri="http://purl.org/dc/elements/1.1/"/>
    <ds:schemaRef ds:uri="http://www.w3.org/XML/1998/namespace"/>
    <ds:schemaRef ds:uri="8ec658c6-dba7-4aba-9565-cada3580c151"/>
    <ds:schemaRef ds:uri="http://schemas.microsoft.com/office/2006/documentManagement/types"/>
    <ds:schemaRef ds:uri="749c6f6d-5f98-4914-887f-119f566e6158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fde67ac-ffe5-4439-8f85-bd14152e7e8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0353070-9E14-4EB7-8B15-18A77458A5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ACA64-7C3B-47F7-BA84-42400FFE6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e67ac-ffe5-4439-8f85-bd14152e7e86"/>
    <ds:schemaRef ds:uri="8ec658c6-dba7-4aba-9565-cada3580c151"/>
    <ds:schemaRef ds:uri="749c6f6d-5f98-4914-887f-119f566e6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20250113</vt:lpstr>
      <vt:lpstr>'20250113'!Print_Area</vt:lpstr>
    </vt:vector>
  </TitlesOfParts>
  <Company>ENERGY MARKET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Power System Operation Division</dc:creator>
  <cp:lastModifiedBy>Matheaus HX LEONG (EMA)</cp:lastModifiedBy>
  <cp:lastPrinted>2024-12-10T11:26:50Z</cp:lastPrinted>
  <dcterms:created xsi:type="dcterms:W3CDTF">2002-07-16T06:28:40Z</dcterms:created>
  <dcterms:modified xsi:type="dcterms:W3CDTF">2025-01-27T05:59:39Z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db910-0838-4c35-bb3a-1ee21aa199ac_Enabled">
    <vt:lpwstr>true</vt:lpwstr>
  </property>
  <property fmtid="{D5CDD505-2E9C-101B-9397-08002B2CF9AE}" pid="3" name="MSIP_Label_153db910-0838-4c35-bb3a-1ee21aa199ac_SetDate">
    <vt:lpwstr>2025-01-20T07:25:50Z</vt:lpwstr>
  </property>
  <property fmtid="{D5CDD505-2E9C-101B-9397-08002B2CF9AE}" pid="4" name="MSIP_Label_153db910-0838-4c35-bb3a-1ee21aa199ac_Method">
    <vt:lpwstr>Privileged</vt:lpwstr>
  </property>
  <property fmtid="{D5CDD505-2E9C-101B-9397-08002B2CF9AE}" pid="5" name="MSIP_Label_153db910-0838-4c35-bb3a-1ee21aa199ac_Name">
    <vt:lpwstr>Sensitive Normal</vt:lpwstr>
  </property>
  <property fmtid="{D5CDD505-2E9C-101B-9397-08002B2CF9AE}" pid="6" name="MSIP_Label_153db910-0838-4c35-bb3a-1ee21aa199ac_SiteId">
    <vt:lpwstr>0b11c524-9a1c-4e1b-84cb-6336aefc2243</vt:lpwstr>
  </property>
  <property fmtid="{D5CDD505-2E9C-101B-9397-08002B2CF9AE}" pid="7" name="MSIP_Label_153db910-0838-4c35-bb3a-1ee21aa199ac_ActionId">
    <vt:lpwstr>abb6293c-c884-4718-a079-94c35fafae49</vt:lpwstr>
  </property>
  <property fmtid="{D5CDD505-2E9C-101B-9397-08002B2CF9AE}" pid="8" name="MSIP_Label_153db910-0838-4c35-bb3a-1ee21aa199ac_ContentBits">
    <vt:lpwstr>0</vt:lpwstr>
  </property>
  <property fmtid="{D5CDD505-2E9C-101B-9397-08002B2CF9AE}" pid="9" name="ContentTypeId">
    <vt:lpwstr>0x0101009B27532711F44748864E521553AA686E</vt:lpwstr>
  </property>
</Properties>
</file>